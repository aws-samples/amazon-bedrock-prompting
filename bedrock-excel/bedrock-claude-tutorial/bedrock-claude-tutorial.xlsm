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amazon-bedrock-prompting/bedrock-excel/"/>
    </mc:Choice>
  </mc:AlternateContent>
  <xr:revisionPtr revIDLastSave="0" documentId="13_ncr:1_{633153F7-1CB3-6945-B3CC-ADC4AA131A94}" xr6:coauthVersionLast="47" xr6:coauthVersionMax="47" xr10:uidLastSave="{00000000-0000-0000-0000-000000000000}"/>
  <workbookProtection workbookAlgorithmName="SHA-512" workbookHashValue="wkfG1/CZuJ6fJ+Li5mo58SPnsNDSOp+681dZvljLtySca3F+cxzduN+Sz/bAViKagv2zCs9ixXXEf5XLiJLaOQ==" workbookSaltValue="ig7RQ+SBzYB+bl36tTQcBw==" workbookSpinCount="100000" lockStructure="1"/>
  <bookViews>
    <workbookView xWindow="-7800" yWindow="-26920" windowWidth="32800" windowHeight="21680"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9 - Congratulations &amp; Next Step" sheetId="23" r:id="rId23"/>
    <sheet name="Appendix - Chaining Prompts" sheetId="24"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2" l="1"/>
  <c r="J39" i="22" s="1"/>
  <c r="G77" i="25"/>
  <c r="E60" i="25"/>
  <c r="G62" i="11"/>
  <c r="G76" i="9"/>
  <c r="G79" i="9"/>
  <c r="G34" i="25"/>
  <c r="G130" i="24"/>
  <c r="E121" i="24"/>
  <c r="G121" i="24" s="1"/>
  <c r="E102" i="24"/>
  <c r="G102" i="24" s="1"/>
  <c r="E89" i="24"/>
  <c r="G89" i="24" s="1"/>
  <c r="G74" i="24"/>
  <c r="E63" i="24"/>
  <c r="G63" i="24" s="1"/>
  <c r="E39" i="24"/>
  <c r="G39" i="24" s="1"/>
  <c r="E23" i="24"/>
  <c r="G23" i="24"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<sst xmlns="http://schemas.openxmlformats.org/spreadsheetml/2006/main" count="1499" uniqueCount="634">
  <si>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</si>
  <si>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</si>
  <si>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</si>
  <si>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</si>
  <si>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</si>
  <si>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</si>
  <si>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</si>
  <si>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</si>
  <si>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</si>
  <si>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</si>
  <si>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</si>
  <si>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</si>
  <si>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</si>
  <si>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</si>
  <si>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</si>
  <si>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</si>
  <si>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</si>
  <si>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</si>
  <si>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</si>
  <si>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</si>
  <si>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</si>
  <si>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</si>
  <si>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</si>
  <si>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</si>
  <si>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</si>
  <si>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</si>
  <si>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</si>
  <si>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</si>
  <si>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</si>
  <si>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</si>
  <si>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</si>
  <si>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</si>
  <si>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</si>
  <si>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</si>
  <si>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</si>
  <si>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</si>
  <si>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</si>
  <si>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</si>
  <si>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</si>
  <si>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</si>
  <si>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</si>
  <si>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</si>
  <si>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</si>
  <si>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</si>
  <si>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</si>
  <si>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</si>
  <si>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</si>
  <si>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</si>
  <si>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</si>
  <si>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</si>
  <si>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</si>
  <si>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</si>
  <si>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</si>
  <si>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</si>
  <si>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</si>
  <si>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</si>
  <si>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</si>
  <si>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</si>
  <si>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</si>
  <si>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</si>
  <si>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</si>
  <si>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</si>
  <si>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</si>
  <si>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</si>
  <si>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</si>
  <si>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</si>
  <si>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</si>
  <si>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</si>
  <si>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</si>
  <si>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</si>
  <si>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</si>
  <si>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</si>
  <si>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</si>
  <si>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</si>
  <si>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</si>
  <si>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</si>
  <si>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</si>
  <si>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</si>
  <si>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</si>
  <si>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</si>
  <si>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</si>
  <si>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</si>
  <si>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</si>
  <si>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</si>
  <si>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</si>
  <si>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</si>
  <si>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</si>
  <si>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</si>
  <si>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</si>
  <si>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</si>
  <si>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</si>
  <si>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</si>
  <si>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</si>
  <si>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</si>
  <si>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</si>
  <si>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</si>
  <si>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</si>
  <si>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</si>
  <si>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</si>
  <si>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</si>
  <si>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</si>
  <si>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</si>
  <si>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</si>
  <si>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</si>
  <si>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</si>
  <si>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</si>
  <si>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</si>
  <si>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</si>
  <si>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</si>
  <si>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</si>
  <si>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</si>
  <si>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</si>
  <si>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</si>
  <si>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</si>
  <si>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</si>
  <si>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</si>
  <si>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</si>
  <si>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</si>
  <si>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</si>
  <si>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</si>
  <si>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</si>
  <si>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</si>
  <si>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</si>
  <si>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</si>
  <si>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</si>
  <si>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</si>
  <si>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</si>
  <si>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</si>
  <si>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</si>
  <si>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</si>
  <si>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</si>
  <si>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</si>
  <si>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</si>
  <si>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</si>
  <si>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</si>
  <si>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</si>
  <si>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</si>
  <si>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</si>
  <si>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</si>
  <si>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</si>
  <si>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</si>
  <si>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</si>
  <si>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</si>
  <si>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</si>
  <si>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</si>
  <si>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</si>
  <si>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</si>
  <si>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</si>
  <si>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</si>
  <si>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</si>
  <si>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</si>
  <si>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</si>
  <si>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</si>
  <si>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</si>
  <si>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</si>
  <si>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</si>
  <si>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</si>
  <si>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</si>
  <si>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</si>
  <si>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</si>
  <si>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</si>
  <si>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</si>
  <si>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</si>
  <si>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</si>
  <si>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</si>
  <si>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</si>
  <si>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</si>
  <si>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</si>
  <si>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</si>
  <si>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</si>
  <si>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</si>
  <si>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</si>
  <si>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</si>
  <si>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</si>
  <si>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</si>
  <si>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</si>
  <si>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</si>
  <si>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</si>
  <si>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</si>
  <si>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</si>
  <si>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</si>
  <si>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</si>
  <si>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</si>
  <si>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</si>
  <si>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</si>
  <si>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</si>
  <si>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</si>
  <si>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</si>
  <si>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</si>
  <si>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</si>
  <si>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</si>
  <si>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</si>
  <si>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</si>
  <si>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</si>
  <si>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</si>
  <si>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</si>
  <si>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</si>
  <si>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</si>
  <si>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</si>
  <si>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</si>
  <si>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</si>
  <si>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</si>
  <si>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</si>
  <si>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</si>
  <si>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</si>
  <si>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</si>
  <si>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</si>
  <si>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</si>
  <si>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</si>
  <si>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</si>
  <si>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</si>
  <si>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</si>
  <si>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</si>
  <si>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</si>
  <si>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</si>
  <si>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Hi -- My Mixmaster4000 is producing a strange noise when I operate it. It also smells a bit smoky and plasticky, like burning electronics.  I need a replacement.</t>
  </si>
  <si>
    <t>B</t>
  </si>
  <si>
    <t>Can I use my Mixmaster 4000 to mix paint, or is it only meant for mixing food?</t>
  </si>
  <si>
    <t>A</t>
  </si>
  <si>
    <t>I HAVE BEEN WAITING 4 MONTHS FOR MY MONTHLY CHARGES TO END AFTER CANCELLING!!  WTF IS GOING ON???</t>
  </si>
  <si>
    <t>C</t>
  </si>
  <si>
    <t>How did I get here I am not good with computer.  Halp.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</si>
  <si>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</si>
  <si>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</si>
  <si>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</si>
  <si>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</si>
  <si>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</si>
  <si>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</si>
  <si>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</si>
  <si>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</si>
  <si>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</si>
  <si>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</si>
  <si>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</si>
  <si>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</si>
  <si>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</si>
  <si>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</si>
  <si>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</si>
  <si>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</si>
  <si>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</si>
  <si>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</si>
  <si>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</si>
  <si>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</si>
  <si>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</si>
  <si>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</si>
  <si>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</si>
  <si>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</si>
  <si>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</si>
  <si>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</si>
  <si>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</si>
  <si>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</si>
  <si>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</si>
  <si>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</si>
  <si>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</si>
  <si>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</si>
  <si>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</si>
  <si>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</si>
  <si>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</si>
  <si>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</si>
  <si>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</si>
  <si>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</si>
  <si>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</si>
  <si>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t>Remember that these are the categories for the emails:</t>
  </si>
  <si>
    <t>Last Letter</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</si>
  <si>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</si>
  <si>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</si>
  <si>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</si>
  <si>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</si>
  <si>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</si>
  <si>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</si>
  <si>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</si>
  <si>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</si>
  <si>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</si>
  <si>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</si>
  <si>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</si>
  <si>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</si>
  <si>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</si>
  <si>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</si>
  <si>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</si>
  <si>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</si>
  <si>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</si>
  <si>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</si>
  <si>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</si>
  <si>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</si>
  <si>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</si>
  <si>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</si>
  <si>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</si>
  <si>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</si>
  <si>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</si>
  <si>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</si>
  <si>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</si>
  <si>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</si>
  <si>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</si>
  <si>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</si>
  <si>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</si>
  <si>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</si>
  <si>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</si>
  <si>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</si>
  <si>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</si>
  <si>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</si>
  <si>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</si>
  <si>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</si>
  <si>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</si>
  <si>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</si>
  <si>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</si>
  <si>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</si>
  <si>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</si>
  <si>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</si>
  <si>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</si>
  <si>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</si>
  <si>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</si>
  <si>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</si>
  <si>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</si>
  <si>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</si>
  <si>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</si>
  <si>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</si>
  <si>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</si>
  <si>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</si>
  <si>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</si>
  <si>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</si>
  <si>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</si>
  <si>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</si>
  <si>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</si>
  <si>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</si>
  <si>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</si>
  <si>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</si>
  <si>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</si>
  <si>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</si>
  <si>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</si>
  <si>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</si>
  <si>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</si>
  <si>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</si>
  <si>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</si>
  <si>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</si>
  <si>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</si>
  <si>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</si>
  <si>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</si>
  <si>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</si>
  <si>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</si>
  <si>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</si>
  <si>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</si>
  <si>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</si>
  <si>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</si>
  <si>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</si>
  <si>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</si>
  <si>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</si>
  <si>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</si>
  <si>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</si>
  <si>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</si>
  <si>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</si>
  <si>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</si>
  <si>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</si>
  <si>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</si>
  <si>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</si>
  <si>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</si>
  <si>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</si>
  <si>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</si>
  <si>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</si>
  <si>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</si>
  <si>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</si>
  <si>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</si>
  <si>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</si>
  <si>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</si>
  <si>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</si>
  <si>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</si>
  <si>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</si>
  <si>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</si>
  <si>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</si>
  <si>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</si>
  <si>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</si>
  <si>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</si>
  <si>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</si>
  <si>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</si>
  <si>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</si>
  <si>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</si>
  <si>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</si>
  <si>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</si>
  <si>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</si>
  <si>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</si>
  <si>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</si>
  <si>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</si>
  <si>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</si>
  <si>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</si>
  <si>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</si>
  <si>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</si>
  <si>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</si>
  <si>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</si>
  <si>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</si>
  <si>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</si>
  <si>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</si>
  <si>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</si>
  <si>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</si>
  <si>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</si>
  <si>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</si>
  <si>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</si>
  <si>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</si>
  <si>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</si>
  <si>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</si>
  <si>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</si>
  <si>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</si>
  <si>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</si>
  <si>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</si>
  <si>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</si>
  <si>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</si>
  <si>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</si>
  <si>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</si>
  <si>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</si>
  <si>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</si>
  <si>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</si>
  <si>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</si>
  <si>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</si>
  <si>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</si>
  <si>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</si>
  <si>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</si>
  <si>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</si>
  <si>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Expand on the specific tasks you want Claude to do, as well as any rules that Claude must follow. This is also where you can give Claude an "out" if it doesn't have an answer or doesn't know.</t>
  </si>
  <si>
    <t>Use "{{CODE}}" to represent the code you want Claude to examine. Remember to surround it in XML tags.</t>
  </si>
  <si>
    <t>This element may not be necessary depending on task. Ordering is also flexible. When input data is long, it's best to put it before the instructions.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</si>
  <si>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</si>
  <si>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</si>
  <si>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</si>
  <si>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</si>
  <si>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</si>
  <si>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</si>
  <si>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</si>
  <si>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</si>
  <si>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</si>
  <si>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</si>
  <si>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</si>
  <si>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</si>
  <si>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</si>
  <si>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</si>
  <si>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</si>
  <si>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</si>
  <si>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</si>
  <si>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</si>
  <si>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</si>
  <si>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</si>
  <si>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</si>
  <si>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</si>
  <si>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</si>
  <si>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</si>
  <si>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</si>
  <si>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</si>
  <si>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</si>
  <si>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</si>
  <si>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</si>
  <si>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</si>
  <si>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</si>
  <si>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</si>
  <si>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</si>
  <si>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</si>
  <si>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</si>
  <si>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</si>
  <si>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</si>
  <si>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</si>
  <si>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</si>
  <si>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</si>
  <si>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</si>
  <si>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</si>
  <si>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</si>
  <si>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</si>
  <si>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</si>
  <si>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</si>
  <si>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</si>
  <si>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</si>
  <si>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</si>
  <si>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</si>
  <si>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</si>
  <si>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</si>
  <si>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</si>
  <si>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</si>
  <si>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</si>
  <si>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</si>
  <si>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</si>
  <si>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</si>
  <si>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</si>
  <si>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</si>
  <si>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</si>
  <si>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</si>
  <si>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</si>
  <si>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</si>
  <si>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</si>
  <si>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</si>
  <si>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</si>
  <si>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</si>
  <si>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</si>
  <si>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</si>
  <si>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</si>
  <si>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</si>
  <si>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</si>
  <si>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</si>
  <si>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</si>
  <si>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</si>
  <si>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</si>
  <si>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</si>
  <si>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</si>
  <si>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</si>
  <si>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</si>
  <si>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</si>
  <si>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</si>
  <si>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</si>
  <si>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</si>
  <si>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</si>
  <si>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</si>
  <si>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</si>
  <si>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</si>
  <si>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</si>
  <si>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</si>
  <si>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</si>
  <si>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</si>
  <si>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</si>
  <si>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</si>
  <si>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</si>
  <si>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</si>
  <si>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</si>
  <si>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</si>
  <si>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</si>
  <si>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</si>
  <si>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</si>
  <si>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</si>
  <si>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</si>
  <si>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</si>
  <si>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</si>
  <si>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1. You must have an AWS account with permissions for calling Bedrock APIs</t>
  </si>
  <si>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</si>
  <si>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</si>
  <si>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</si>
  <si>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</si>
  <si>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</si>
  <si>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xml:space="preserve"> I'm doing well, thanks for asking!</t>
  </si>
  <si>
    <t xml:space="preserve"> The color of the ocean can vary depending on location and conditions, but generally it appears blue. Factors like depth, sediments, organic materials, salinity, and sunlight penetration influence the exact hue. Near shore or in shallow waters, the ocean may appear greenish. In deep waters away from land, it usually looks darker blue.</t>
  </si>
  <si>
    <t xml:space="preserve"> Celine Dion was born on March 30, 1968. She is a Canadian singer.</t>
  </si>
  <si>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</si>
  <si>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</si>
  <si>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</si>
  <si>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</si>
  <si>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</si>
  <si>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</si>
  <si>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</si>
  <si>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</si>
  <si>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</si>
  <si>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 xml:space="preserve"> Here is a haiku about robots:
Metal bodies move
Circuits calculate tasks
Machines mimic life</t>
  </si>
  <si>
    <t xml:space="preserve"> 
Silicon bodies move
Circuits calculate tasks
Machines serve humans now</t>
  </si>
  <si>
    <t xml:space="preserve"> There is no definitive answer to who is the best basketball player of all time. Reasonable basketball fans and analysts can disagree on this topic. Some of the players most frequently cited as possibilities for the GOAT (Greatest Of All Time) include Michael Jordan, LeBron James, Kareem Abdul-Jabbar, Wilt Chamberlain, Bill Russell, and Magic Johnson. It's a debate that will likely continue, as different eras and playstyles make direct comparisons impossible to definitively settle.</t>
  </si>
  <si>
    <t xml:space="preserve"> There is no definitive answer, as reasonable people can disagree on this. However, if pressed to choose a single player, I would say Michael Jordan is widely considered to be the greatest basketball player of all time based on his exceptional talent and unprecedented success at the professional level over his career.</t>
  </si>
  <si>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</si>
  <si>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</si>
  <si>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</si>
  <si>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</si>
  <si>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</si>
  <si>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</si>
  <si>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</si>
  <si>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</si>
  <si>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</si>
  <si>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</si>
  <si>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</si>
  <si>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</si>
  <si>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</si>
  <si>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</si>
  <si>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</si>
  <si>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</si>
  <si>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</si>
  <si>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</si>
  <si>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</si>
  <si>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</si>
  <si>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</si>
  <si>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</si>
  <si>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</si>
  <si>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</si>
  <si>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</si>
  <si>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</si>
  <si>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</si>
  <si>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</si>
  <si>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</si>
  <si>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</si>
  <si>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</si>
  <si>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</si>
  <si>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</si>
  <si>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</si>
  <si>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</si>
  <si>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</si>
  <si>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</si>
  <si>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</si>
  <si>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</si>
  <si>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</si>
  <si>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</si>
  <si>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</si>
  <si>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</si>
  <si>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</si>
  <si>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</si>
  <si>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</si>
  <si>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</si>
  <si>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</si>
  <si>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</si>
  <si>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</si>
  <si>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</si>
  <si>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</si>
  <si>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</si>
  <si>
    <t>Learn &amp; practice prompt engineering for Anthropic Claude in Amazon Bedrock</t>
  </si>
  <si>
    <t>About this spreadsheet</t>
  </si>
  <si>
    <t>Interactive Cells</t>
  </si>
  <si>
    <t>This tutorial was designed by Anthropic,
and adapted for Amazon Bedrock by AWS.</t>
  </si>
  <si>
    <t>Current version: October 2023</t>
  </si>
  <si>
    <r>
      <t xml:space="preserve">Please note, </t>
    </r>
    <r>
      <rPr>
        <b/>
        <sz val="12"/>
        <color theme="1"/>
        <rFont val="Calibri"/>
        <family val="2"/>
        <scheme val="minor"/>
      </rPr>
      <t>YELLOW</t>
    </r>
    <r>
      <rPr>
        <sz val="12"/>
        <color theme="1"/>
        <rFont val="Calibri"/>
        <family val="2"/>
        <scheme val="minor"/>
      </rPr>
      <t xml:space="preserve"> </t>
    </r>
    <r>
      <rPr>
        <b/>
        <sz val="12"/>
        <color theme="1"/>
        <rFont val="Calibri"/>
        <family val="2"/>
        <scheme val="minor"/>
      </rPr>
      <t>background</t>
    </r>
    <r>
      <rPr>
        <sz val="12"/>
        <color theme="1"/>
        <rFont val="Calibri"/>
        <family val="2"/>
        <scheme val="minor"/>
      </rPr>
      <t xml:space="preserve"> cells in this spreadsheet allow user's inputs.
All other cells are read-only.</t>
    </r>
  </si>
  <si>
    <t>For questions/comments about this spreadsheet,
please contact: rodzanto@</t>
  </si>
  <si>
    <t xml:space="preserve">
Human: Can you tell me your favorite color?
Assistant: Well.... I don't exactly have a favorite color because I can't see ;) But there are some colors I like.
OK, what's a color you like?
Assistant:</t>
  </si>
  <si>
    <t xml:space="preserve"> I don't have personal preferences, but as an AI system created by Anthropic to be helpful, harmless, and honest, I don't experience the world in the same way that humans do. I was designed to have conversations, not subjective experiences like choosing favorites.</t>
  </si>
  <si>
    <t xml:space="preserve">
Human: Hello Claude, how are you?
Assistant:</t>
  </si>
  <si>
    <t xml:space="preserve">
Human: Can you write me a story?
Assistant:</t>
  </si>
  <si>
    <t xml:space="preserve"> Sure, here is a short story for you:
The Mysterious Island
John was bored of being stuck at home all day. He decided to go exploring in the woods near his house. As he was walking along a trail, he noticed something strange in the distance. It looked like a small island in the middle of the forest! 
John made his way over to get a closer look. Sure enough, there was a small patch of land surrounded by a ring of trees. As he stepped onto the island, he noticed something even more strange. There were strange markings on the ground that didn't look natural. It almost looked like some kind of writing, but in a language he didn't recognize. 
Curious to learn more, John started exploring the mysterious island. He found some old ruins hidden in the bushes, as well as unusual plants he had never seen before. What secret did this place hold? As he was investigating, John heard a strange noise coming from the trees. He turned around but didn't see anything. 
Suddenly, a bright light appeared in the sky above the island. John shielded his eyes as the light grew brighter. When it faded, a strange metal object was hovering just above the ground. It had a round shape and lights flashing along the sides. John stood frozen, not sure what to make of this discovery. Had he found a secret that was not meant for humans? As the object started to rise up again, John ran as fast as he could back to the safety of the trail. He would never forget the mystery of the island in the woods.
How was that? I aimed for a short story with some mystery and intrigue while staying fairly lighthearted. Please let me know if you would like me to modify or expand the story in any way. I'm happy to try another version.</t>
  </si>
  <si>
    <t xml:space="preserve">
Human: Is this equation solved correctly below?
2x - 3 = 9
2x = 6
x = 3
Assistant:</t>
  </si>
  <si>
    <t xml:space="preserve"> Yes, this equation is solved correctly:
1) 2x - 3 = 9
2) Add 3 to both sides: 2x = 12 
3) Divide both sides by 2: x = 6
So the steps shown are valid and arrive at the correct solution of x = 3.</t>
  </si>
  <si>
    <t>Pigs</t>
  </si>
  <si>
    <t xml:space="preserve">
Human: Hia its me i have a q about dogs jkaerjv {{QUESTION}} jklmvca tx it help me muhch much atx fst fst answer short short tx
Assistant:</t>
  </si>
  <si>
    <t xml:space="preserve"> I apologize, but I did not understand your question. Could you please rephrase it in a clearer way? It will help me to provide an accurate and helpful response.</t>
  </si>
  <si>
    <t xml:space="preserve"> There is no definitive answer, as reasonable people can disagree on this. However, if pressed to choose a single player, I would say Michael Jordan is widely considered one of the greatest and most accomplished basketball players of all time.</t>
  </si>
  <si>
    <t xml:space="preserve">
Curious little cat  
Pouncing on strings and lasers  
Naps in sunny spots
&lt;/haiku&gt;</t>
  </si>
  <si>
    <t xml:space="preserve">
The mighty elephant
With trunk held high and tusks so long
King of the savannah
&lt;/haiku&gt;</t>
  </si>
  <si>
    <t xml:space="preserve">
Human: Please classify this email: {{EMAIL}}
Assistant:</t>
  </si>
  <si>
    <t xml:space="preserve"> This email is requesting assistance and does not contain any concerning language.</t>
  </si>
  <si>
    <t xml:space="preserve"> This email is asking for product usage information. It does not contain any harmful, illegal or deceptive content.</t>
  </si>
  <si>
    <t xml:space="preserve"> This email appears to express frustration or anger about ongoing monthly charges after canceling a service. The language used, such as "WTF", suggests a negative sentiment. Overall, I would classify this email as expressing a complaint.</t>
  </si>
  <si>
    <t xml:space="preserve"> This email does not contain enough context for me to reliably classify it. The tone seems to indicate the sender is unfamiliar with computers and is requesting help, but without more details about the specific issue or situation, I cannot determine if the email is legitimate, a scam, or something else. More context would be needed to analyze the intent and classify the email accurately.</t>
  </si>
  <si>
    <t xml:space="preserve"> This email appears to express frustration or anger about ongoing monthly charges after canceling a service. The language used, such as "WTF", suggests a negative sentiment. Overall, I would classify this email as a complaint.</t>
  </si>
  <si>
    <t xml:space="preserve"> This email does not contain enough context for me to reliably classify it. The tone seems to indicate the sender is unfamiliar with computers and is requesting help, but without more details I cannot determine if it is legitimate, spam, phishing, etc. More context would be needed.</t>
  </si>
  <si>
    <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</si>
  <si>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 xml:space="preserve">
Human: In what year did Kawhi Leonard win his third NBA championship?
Assistant: </t>
  </si>
  <si>
    <t xml:space="preserve"> Kawhi Leonard won his third NBA championship in 2022 as a member of the Golden State Warriors. He previously won titles in 2014 and 2019 with the San Antonio Spurs and Toronto Raptors respectively.</t>
  </si>
  <si>
    <t xml:space="preserve">
Human: &lt;question&gt;From December 2018 to December 2022, by what multiple did Matterport's subscribers grow?&lt;/question&gt;
Please read the below document.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</si>
  <si>
    <t xml:space="preserve"> Based on the document, Matterport's subscribers grew from 503,000 subscribers as of December 31, 2021 to over 701,000 subscribers as of December 31, 2022. This is an increase of approximately 198,000 subscribers over that time period. To calculate the multiple of growth:
- Subscribers in December 2021: 503,000
- Subscribers in December 2022: 701,000 
- Increase in subscribers: 701,000 - 503,000 = 198,000
- Original number of subscribers (December 2021): 503,000
- Multiple of growth = New subscribers / Original subscribers = 701,000 / 503,000 = 1.39
So the multiple that Matterport's subscribers grew from December 2018 to December 2022 is approximately 1.39 times.</t>
  </si>
  <si>
    <t>An error occurred (ValidationException) when calling the InvokeModel operation: Invalid prompt: prompt must end with "
Assistant:" turn</t>
  </si>
  <si>
    <t>Did you know you can use Claude to search through Wikipedia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Anthropic Cookbook for an example of how to use claude to do search &amp; retrieval.
https://github.com/anthropics/anthropic-cookbook/blob/main/long_context/wikipedia-search-cookbook.ipynb</t>
  </si>
  <si>
    <r>
      <t xml:space="preserve">2. You must install xlwings (and the xlwings addin for Excel) in your local machine, by running the following commands in a terminal:
</t>
    </r>
    <r>
      <rPr>
        <b/>
        <i/>
        <sz val="12"/>
        <color theme="1"/>
        <rFont val="Calibri"/>
        <family val="2"/>
        <scheme val="minor"/>
      </rPr>
      <t xml:space="preserve">pip install xlwings
</t>
    </r>
    <r>
      <rPr>
        <b/>
        <sz val="12"/>
        <color theme="1"/>
        <rFont val="Calibri"/>
        <family val="2"/>
        <scheme val="minor"/>
      </rPr>
      <t>xlwings addin install</t>
    </r>
  </si>
  <si>
    <t>PARTICIPANT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</si>
</sst>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
      <b/>
      <sz val="18"/>
      <color theme="1"/>
      <name val="Calibri"/>
      <family val="2"/>
      <scheme val="minor"/>
    </font>
    <font>
      <i/>
      <sz val="10"/>
      <color theme="1"/>
      <name val="Calibri"/>
      <family val="2"/>
      <scheme val="minor"/>
    </font>
    <font>
      <i/>
      <sz val="9"/>
      <color theme="1"/>
      <name val="Calibri"/>
      <family val="2"/>
      <scheme val="minor"/>
    </font>
    <font>
      <b/>
      <sz val="16"/>
      <color rgb="FFED7D31"/>
      <name val="Calibri"/>
      <family val="2"/>
      <scheme val="minor"/>
    </font>
  </fonts>
  <fills count="37">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
      <patternFill patternType="solid">
        <fgColor rgb="FFF5CCCD"/>
        <bgColor rgb="FFCFE2F3"/>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5" fillId="0" borderId="0" applyNumberFormat="0" applyFill="0" applyBorder="0" applyAlignment="0" applyProtection="0"/>
    <xf numFmtId="0" fontId="7" fillId="0" borderId="0"/>
  </cellStyleXfs>
  <cellXfs count="576">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8" fillId="13" borderId="0" xfId="2" applyFont="1" applyFill="1" applyAlignment="1">
      <alignment vertical="center"/>
    </xf>
    <xf numFmtId="0" fontId="7" fillId="0" borderId="0" xfId="2" applyAlignment="1">
      <alignment vertical="center"/>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0" borderId="6" xfId="2" applyFont="1" applyBorder="1" applyAlignment="1">
      <alignment vertical="center" wrapText="1"/>
    </xf>
    <xf numFmtId="0" fontId="10" fillId="6" borderId="10" xfId="2" applyFont="1" applyFill="1" applyBorder="1" applyAlignment="1">
      <alignment vertical="center" wrapText="1"/>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5" fillId="3" borderId="50" xfId="2" applyFont="1" applyFill="1" applyBorder="1" applyAlignment="1">
      <alignment horizontal="center" vertical="center" wrapText="1"/>
    </xf>
    <xf numFmtId="0" fontId="15" fillId="3" borderId="0" xfId="2" applyFont="1" applyFill="1" applyAlignment="1">
      <alignment horizontal="left" vertical="center" wrapTex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6" xfId="2" applyFont="1" applyFill="1" applyBorder="1" applyAlignment="1">
      <alignment vertical="center" wrapText="1"/>
    </xf>
    <xf numFmtId="0" fontId="13" fillId="0" borderId="0" xfId="2" applyFont="1" applyAlignment="1">
      <alignment vertical="center"/>
    </xf>
    <xf numFmtId="0" fontId="13" fillId="0" borderId="37" xfId="2" applyFont="1" applyBorder="1" applyAlignment="1">
      <alignment vertical="center"/>
    </xf>
    <xf numFmtId="0" fontId="10" fillId="0" borderId="50" xfId="2" applyFont="1" applyBorder="1" applyAlignment="1">
      <alignment vertical="center"/>
    </xf>
    <xf numFmtId="0" fontId="10" fillId="0" borderId="50" xfId="2" applyFont="1" applyBorder="1" applyAlignment="1">
      <alignment vertical="center" wrapText="1"/>
    </xf>
    <xf numFmtId="0" fontId="10"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0" borderId="17" xfId="2" applyFont="1" applyBorder="1" applyAlignment="1">
      <alignment vertical="center" wrapText="1"/>
    </xf>
    <xf numFmtId="0" fontId="7" fillId="0" borderId="0" xfId="2" applyAlignment="1">
      <alignment vertical="center" wrapText="1"/>
    </xf>
    <xf numFmtId="0" fontId="18" fillId="0" borderId="5" xfId="2" applyFont="1" applyBorder="1" applyAlignment="1">
      <alignment horizontal="left" vertical="center" wrapText="1"/>
    </xf>
    <xf numFmtId="0" fontId="10" fillId="5" borderId="11" xfId="2" applyFont="1" applyFill="1" applyBorder="1" applyAlignment="1">
      <alignment vertical="center"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0" fillId="16" borderId="11" xfId="2" applyFont="1" applyFill="1" applyBorder="1" applyAlignment="1">
      <alignment vertical="center" wrapText="1"/>
    </xf>
    <xf numFmtId="0" fontId="10" fillId="0" borderId="57" xfId="2" applyFont="1" applyBorder="1" applyAlignment="1">
      <alignment vertical="center"/>
    </xf>
    <xf numFmtId="0" fontId="10" fillId="0" borderId="57" xfId="2" applyFont="1" applyBorder="1" applyAlignment="1">
      <alignment vertical="center" wrapText="1"/>
    </xf>
    <xf numFmtId="0" fontId="18" fillId="7" borderId="5" xfId="2" quotePrefix="1" applyFont="1" applyFill="1" applyBorder="1" applyAlignment="1">
      <alignment vertical="center" wrapText="1"/>
    </xf>
    <xf numFmtId="0" fontId="18" fillId="7" borderId="6" xfId="2" applyFont="1" applyFill="1" applyBorder="1" applyAlignment="1">
      <alignment vertical="center" wrapText="1"/>
    </xf>
    <xf numFmtId="0" fontId="71" fillId="0" borderId="26" xfId="2" applyFont="1" applyBorder="1" applyAlignment="1">
      <alignment horizontal="center" vertical="center"/>
    </xf>
    <xf numFmtId="0" fontId="10" fillId="25" borderId="10"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0" xfId="2" applyFont="1" applyFill="1" applyBorder="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0" fillId="16" borderId="11" xfId="2" applyFont="1" applyFill="1" applyBorder="1" applyAlignment="1">
      <alignment vertical="top" wrapText="1"/>
    </xf>
    <xf numFmtId="0" fontId="15" fillId="0" borderId="50" xfId="2" applyFont="1" applyBorder="1" applyAlignment="1">
      <alignment horizontal="center" vertical="center" wrapText="1"/>
    </xf>
    <xf numFmtId="0" fontId="15" fillId="0" borderId="51" xfId="2" applyFont="1" applyBorder="1" applyAlignment="1">
      <alignment vertical="center" wrapText="1"/>
    </xf>
    <xf numFmtId="0" fontId="15" fillId="3" borderId="52" xfId="2" applyFont="1" applyFill="1" applyBorder="1" applyAlignment="1">
      <alignment horizontal="center" vertical="center" wrapText="1"/>
    </xf>
    <xf numFmtId="0" fontId="39" fillId="6" borderId="11" xfId="2" applyFont="1" applyFill="1" applyBorder="1" applyAlignment="1">
      <alignmen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57" fillId="0" borderId="48" xfId="2" applyFont="1" applyBorder="1" applyAlignment="1">
      <alignment horizontal="right" vertical="center"/>
    </xf>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60" fillId="3" borderId="0" xfId="2" applyFont="1" applyFill="1" applyAlignment="1">
      <alignment horizontal="center" vertical="center" wrapText="1"/>
    </xf>
    <xf numFmtId="0" fontId="38" fillId="0" borderId="18" xfId="2" applyFont="1" applyBorder="1" applyAlignment="1">
      <alignment horizontal="right" vertical="center"/>
    </xf>
    <xf numFmtId="0" fontId="10" fillId="33" borderId="19" xfId="2" applyFont="1" applyFill="1" applyBorder="1" applyAlignment="1">
      <alignment vertical="center" wrapText="1"/>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7" fillId="0" borderId="37" xfId="2" applyBorder="1" applyAlignment="1">
      <alignment vertical="center"/>
    </xf>
    <xf numFmtId="0" fontId="65" fillId="14" borderId="0" xfId="2" applyFont="1" applyFill="1" applyAlignment="1">
      <alignment vertical="center"/>
    </xf>
    <xf numFmtId="0" fontId="7" fillId="15" borderId="0" xfId="2" applyFill="1"/>
    <xf numFmtId="0" fontId="0" fillId="0" borderId="0" xfId="0" applyAlignment="1">
      <alignment vertical="center"/>
    </xf>
    <xf numFmtId="0" fontId="11" fillId="0" borderId="47" xfId="0" applyFont="1"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23" borderId="50" xfId="0" applyFill="1" applyBorder="1" applyAlignment="1">
      <alignment vertical="center"/>
    </xf>
    <xf numFmtId="0" fontId="0" fillId="23" borderId="0" xfId="0" applyFill="1" applyAlignment="1">
      <alignment vertical="center"/>
    </xf>
    <xf numFmtId="0" fontId="0" fillId="23" borderId="51" xfId="0" applyFill="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3" fillId="0" borderId="50" xfId="0" applyFont="1" applyBorder="1" applyAlignment="1">
      <alignment vertical="center"/>
    </xf>
    <xf numFmtId="0" fontId="0" fillId="23" borderId="50" xfId="0" applyFill="1" applyBorder="1" applyAlignment="1">
      <alignment horizontal="left" vertical="center"/>
    </xf>
    <xf numFmtId="0" fontId="1" fillId="0" borderId="50" xfId="0" applyFont="1" applyBorder="1" applyAlignment="1">
      <alignment vertical="center"/>
    </xf>
    <xf numFmtId="0" fontId="3" fillId="0" borderId="0" xfId="0" applyFont="1" applyAlignment="1">
      <alignment vertical="center"/>
    </xf>
    <xf numFmtId="0" fontId="72" fillId="0" borderId="47" xfId="0" applyFont="1" applyBorder="1" applyAlignment="1">
      <alignment vertical="center"/>
    </xf>
    <xf numFmtId="0" fontId="0" fillId="0" borderId="52" xfId="0" applyBorder="1" applyAlignment="1">
      <alignment vertical="center"/>
    </xf>
    <xf numFmtId="0" fontId="0" fillId="0" borderId="53" xfId="0" applyBorder="1" applyAlignment="1">
      <alignment vertical="center"/>
    </xf>
    <xf numFmtId="0" fontId="0" fillId="0" borderId="54" xfId="0" applyBorder="1" applyAlignment="1">
      <alignment vertical="center"/>
    </xf>
    <xf numFmtId="0" fontId="11" fillId="0" borderId="2" xfId="2" applyFont="1" applyBorder="1"/>
    <xf numFmtId="0" fontId="10" fillId="0" borderId="4" xfId="2" applyFont="1" applyBorder="1"/>
    <xf numFmtId="0" fontId="10" fillId="0" borderId="8" xfId="2" applyFont="1" applyBorder="1"/>
    <xf numFmtId="0" fontId="5" fillId="0" borderId="0" xfId="1" applyProtection="1"/>
    <xf numFmtId="0" fontId="38" fillId="0" borderId="0" xfId="2" applyFont="1" applyAlignment="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64" xfId="2" applyFont="1" applyFill="1" applyBorder="1" applyAlignment="1" applyProtection="1">
      <alignment vertical="center" wrapText="1"/>
      <protection locked="0"/>
    </xf>
    <xf numFmtId="0" fontId="10" fillId="24" borderId="11" xfId="2" applyFont="1" applyFill="1" applyBorder="1" applyAlignment="1" applyProtection="1">
      <alignment vertical="top"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73" fillId="0" borderId="0" xfId="0" applyFont="1" applyAlignment="1">
      <alignment vertical="center"/>
    </xf>
    <xf numFmtId="0" fontId="0" fillId="0" borderId="0" xfId="0" applyAlignment="1">
      <alignment vertical="center" wrapText="1"/>
    </xf>
    <xf numFmtId="0" fontId="10" fillId="5" borderId="10" xfId="2" applyFont="1" applyFill="1" applyBorder="1" applyAlignment="1" applyProtection="1">
      <alignment vertical="center" wrapText="1"/>
      <protection locked="0"/>
    </xf>
    <xf numFmtId="0" fontId="10" fillId="5" borderId="11" xfId="2" applyFont="1" applyFill="1" applyBorder="1" applyAlignment="1" applyProtection="1">
      <alignment vertical="center" wrapText="1"/>
      <protection locked="0"/>
    </xf>
    <xf numFmtId="0" fontId="2" fillId="2" borderId="0" xfId="0" applyFont="1" applyFill="1" applyAlignment="1" applyProtection="1">
      <alignment vertical="center" wrapText="1"/>
      <protection locked="0"/>
    </xf>
    <xf numFmtId="0" fontId="10" fillId="6" borderId="12" xfId="2" applyFont="1" applyFill="1" applyBorder="1" applyAlignment="1" applyProtection="1">
      <alignment vertical="center" wrapText="1"/>
      <protection locked="0"/>
    </xf>
    <xf numFmtId="0" fontId="10" fillId="6" borderId="10" xfId="2" applyFont="1" applyFill="1" applyBorder="1" applyAlignment="1" applyProtection="1">
      <alignment vertical="center" wrapText="1"/>
      <protection locked="0"/>
    </xf>
    <xf numFmtId="0" fontId="10" fillId="6" borderId="11" xfId="2" applyFont="1" applyFill="1" applyBorder="1" applyAlignment="1" applyProtection="1">
      <alignment vertical="center" wrapText="1"/>
      <protection locked="0"/>
    </xf>
    <xf numFmtId="0" fontId="10" fillId="36" borderId="11" xfId="2" applyFont="1" applyFill="1" applyBorder="1" applyAlignment="1" applyProtection="1">
      <alignment vertical="center" wrapText="1"/>
      <protection locked="0"/>
    </xf>
    <xf numFmtId="0" fontId="10" fillId="36" borderId="10" xfId="2" applyFont="1" applyFill="1" applyBorder="1" applyAlignment="1" applyProtection="1">
      <alignment vertical="center" wrapText="1"/>
      <protection locked="0"/>
    </xf>
    <xf numFmtId="0" fontId="10" fillId="5" borderId="33" xfId="2" applyFont="1" applyFill="1" applyBorder="1" applyAlignment="1" applyProtection="1">
      <alignment vertical="center" wrapText="1"/>
      <protection locked="0"/>
    </xf>
    <xf numFmtId="0" fontId="10" fillId="6" borderId="11" xfId="2" applyFont="1" applyFill="1" applyBorder="1" applyAlignment="1" applyProtection="1">
      <alignment vertical="top" wrapText="1"/>
      <protection locked="0"/>
    </xf>
    <xf numFmtId="0" fontId="0" fillId="23" borderId="50" xfId="0" applyFill="1" applyBorder="1" applyAlignment="1">
      <alignment horizontal="left" vertical="center" wrapText="1"/>
    </xf>
    <xf numFmtId="0" fontId="0" fillId="23" borderId="0" xfId="0" applyFill="1" applyAlignment="1">
      <alignment horizontal="left" vertical="center" wrapText="1"/>
    </xf>
    <xf numFmtId="0" fontId="0" fillId="23" borderId="51" xfId="0" applyFill="1" applyBorder="1" applyAlignment="1">
      <alignment horizontal="left" vertical="center" wrapText="1"/>
    </xf>
    <xf numFmtId="0" fontId="72" fillId="0" borderId="50" xfId="0" applyFont="1" applyBorder="1" applyAlignment="1">
      <alignment horizontal="center" vertical="center"/>
    </xf>
    <xf numFmtId="0" fontId="72" fillId="0" borderId="0" xfId="0" applyFont="1" applyAlignment="1">
      <alignment horizontal="center" vertical="center"/>
    </xf>
    <xf numFmtId="0" fontId="72" fillId="0" borderId="51" xfId="0" applyFont="1" applyBorder="1" applyAlignment="1">
      <alignment horizontal="center" vertical="center"/>
    </xf>
    <xf numFmtId="0" fontId="0" fillId="0" borderId="50" xfId="0" applyBorder="1" applyAlignment="1">
      <alignment horizontal="center" vertical="center" wrapText="1"/>
    </xf>
    <xf numFmtId="0" fontId="0" fillId="0" borderId="0" xfId="0"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64" fillId="20" borderId="65" xfId="0" applyFont="1" applyFill="1" applyBorder="1" applyAlignment="1">
      <alignment horizontal="center" vertical="center"/>
    </xf>
    <xf numFmtId="0" fontId="64" fillId="20" borderId="66" xfId="0" applyFont="1" applyFill="1" applyBorder="1" applyAlignment="1">
      <alignment horizontal="center" vertical="center"/>
    </xf>
    <xf numFmtId="0" fontId="75" fillId="0" borderId="50" xfId="0" applyFont="1" applyBorder="1" applyAlignment="1">
      <alignment horizontal="center" vertical="center" wrapText="1"/>
    </xf>
    <xf numFmtId="0" fontId="75" fillId="0" borderId="0" xfId="0" applyFont="1" applyAlignment="1">
      <alignment horizontal="center" vertical="center" wrapText="1"/>
    </xf>
    <xf numFmtId="0" fontId="75" fillId="0" borderId="51" xfId="0" applyFont="1" applyBorder="1" applyAlignment="1">
      <alignment horizontal="center" vertical="center" wrapText="1"/>
    </xf>
    <xf numFmtId="0" fontId="74" fillId="0" borderId="50" xfId="0" quotePrefix="1" applyFont="1" applyBorder="1" applyAlignment="1">
      <alignment horizontal="center" vertical="center" wrapText="1"/>
    </xf>
    <xf numFmtId="0" fontId="74" fillId="0" borderId="0" xfId="0" quotePrefix="1" applyFont="1" applyAlignment="1">
      <alignment horizontal="center" vertical="center" wrapText="1"/>
    </xf>
    <xf numFmtId="0" fontId="74" fillId="0" borderId="51" xfId="0" quotePrefix="1" applyFont="1" applyBorder="1" applyAlignment="1">
      <alignment horizontal="center" vertical="center" wrapText="1"/>
    </xf>
    <xf numFmtId="0" fontId="5" fillId="0" borderId="0" xfId="1" applyProtection="1"/>
    <xf numFmtId="0" fontId="5" fillId="0" borderId="6" xfId="1" applyBorder="1" applyProtection="1"/>
    <xf numFmtId="0" fontId="6" fillId="12" borderId="7" xfId="2" applyFont="1" applyFill="1" applyBorder="1" applyAlignment="1">
      <alignment horizontal="center" vertical="center" textRotation="90"/>
    </xf>
    <xf numFmtId="0" fontId="13" fillId="0" borderId="5" xfId="2" applyFont="1" applyBorder="1"/>
    <xf numFmtId="0" fontId="13" fillId="0" borderId="16" xfId="2" applyFont="1" applyBorder="1"/>
    <xf numFmtId="0" fontId="26" fillId="0" borderId="8" xfId="2" applyFont="1" applyBorder="1"/>
    <xf numFmtId="0" fontId="13" fillId="0" borderId="8" xfId="2" applyFont="1" applyBorder="1"/>
    <xf numFmtId="0" fontId="13" fillId="0" borderId="9" xfId="2" applyFont="1" applyBorder="1"/>
    <xf numFmtId="0" fontId="26" fillId="0" borderId="0" xfId="2" applyFont="1"/>
    <xf numFmtId="0" fontId="7" fillId="0" borderId="0" xfId="2"/>
    <xf numFmtId="0" fontId="13" fillId="0" borderId="6" xfId="2" applyFont="1" applyBorder="1"/>
    <xf numFmtId="0" fontId="6" fillId="11" borderId="7" xfId="2" applyFont="1" applyFill="1" applyBorder="1" applyAlignment="1">
      <alignment horizontal="center" vertical="center" textRotation="90"/>
    </xf>
    <xf numFmtId="0" fontId="6" fillId="4" borderId="7" xfId="2" applyFont="1" applyFill="1" applyBorder="1" applyAlignment="1">
      <alignment horizontal="center" vertical="center" textRotation="90"/>
    </xf>
    <xf numFmtId="0" fontId="18" fillId="0" borderId="16" xfId="2" applyFont="1" applyBorder="1" applyAlignment="1">
      <alignment wrapText="1"/>
    </xf>
    <xf numFmtId="0" fontId="13" fillId="0" borderId="17" xfId="2" applyFont="1" applyBorder="1"/>
    <xf numFmtId="0" fontId="13" fillId="0" borderId="18" xfId="2" applyFont="1" applyBorder="1"/>
    <xf numFmtId="0" fontId="18" fillId="0" borderId="5" xfId="2" applyFont="1" applyBorder="1" applyAlignment="1">
      <alignment wrapText="1"/>
    </xf>
    <xf numFmtId="0" fontId="6" fillId="10" borderId="7" xfId="2" applyFont="1" applyFill="1" applyBorder="1" applyAlignment="1">
      <alignment horizontal="center" vertical="center" textRotation="90"/>
    </xf>
    <xf numFmtId="0" fontId="5" fillId="0" borderId="0" xfId="1" applyAlignment="1">
      <alignment horizontal="center" vertical="center"/>
    </xf>
    <xf numFmtId="0" fontId="5" fillId="0" borderId="0" xfId="1" applyAlignment="1">
      <alignment vertical="center"/>
    </xf>
    <xf numFmtId="0" fontId="10" fillId="0" borderId="5" xfId="2" applyFont="1" applyBorder="1" applyAlignment="1">
      <alignment vertical="center"/>
    </xf>
    <xf numFmtId="0" fontId="7" fillId="0" borderId="0" xfId="2" applyAlignment="1">
      <alignment vertical="center"/>
    </xf>
    <xf numFmtId="0" fontId="13" fillId="0" borderId="6" xfId="2" applyFont="1" applyBorder="1" applyAlignment="1">
      <alignment vertical="center"/>
    </xf>
    <xf numFmtId="0" fontId="19" fillId="3" borderId="50" xfId="2" applyFont="1" applyFill="1" applyBorder="1" applyAlignment="1">
      <alignment vertical="center"/>
    </xf>
    <xf numFmtId="0" fontId="13" fillId="0" borderId="51" xfId="2" applyFont="1" applyBorder="1" applyAlignment="1">
      <alignment vertical="center"/>
    </xf>
    <xf numFmtId="0" fontId="19" fillId="3" borderId="50" xfId="2" applyFont="1" applyFill="1" applyBorder="1" applyAlignment="1">
      <alignment horizontal="left" vertical="center" wrapText="1"/>
    </xf>
    <xf numFmtId="0" fontId="19" fillId="3" borderId="0" xfId="2" applyFont="1" applyFill="1" applyAlignment="1">
      <alignment horizontal="left" vertical="center" wrapText="1"/>
    </xf>
    <xf numFmtId="0" fontId="19" fillId="3" borderId="51" xfId="2" applyFont="1" applyFill="1" applyBorder="1" applyAlignment="1">
      <alignment horizontal="left" vertical="center" wrapText="1"/>
    </xf>
    <xf numFmtId="0" fontId="18" fillId="3" borderId="50" xfId="2" applyFont="1" applyFill="1" applyBorder="1" applyAlignment="1">
      <alignment horizontal="left" vertical="center" wrapText="1"/>
    </xf>
    <xf numFmtId="0" fontId="18" fillId="3" borderId="0" xfId="2" applyFont="1" applyFill="1" applyAlignment="1">
      <alignment horizontal="left" vertical="center" wrapText="1"/>
    </xf>
    <xf numFmtId="0" fontId="18"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9" fillId="3" borderId="5"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5" fillId="0" borderId="0" xfId="1" applyAlignment="1">
      <alignment horizontal="right"/>
    </xf>
    <xf numFmtId="0" fontId="5" fillId="0" borderId="0" xfId="1" applyAlignment="1">
      <alignment horizontal="righ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18" fillId="3" borderId="50" xfId="2" applyFont="1" applyFill="1" applyBorder="1" applyAlignment="1">
      <alignment vertical="center"/>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5" xfId="2" applyFont="1" applyFill="1" applyBorder="1" applyAlignment="1">
      <alignment vertical="center"/>
    </xf>
    <xf numFmtId="0" fontId="13" fillId="28" borderId="13" xfId="2" applyFont="1" applyFill="1" applyBorder="1" applyAlignment="1">
      <alignment vertical="center"/>
    </xf>
    <xf numFmtId="0" fontId="10" fillId="0" borderId="0" xfId="2" applyFont="1" applyAlignment="1">
      <alignment horizontal="center" vertical="center" wrapText="1"/>
    </xf>
    <xf numFmtId="0" fontId="10" fillId="6" borderId="11" xfId="2" applyFont="1" applyFill="1" applyBorder="1" applyAlignment="1">
      <alignment vertical="center" wrapText="1"/>
    </xf>
    <xf numFmtId="0" fontId="10" fillId="6" borderId="15" xfId="2" applyFont="1" applyFill="1" applyBorder="1" applyAlignment="1">
      <alignment vertical="center" wrapText="1"/>
    </xf>
    <xf numFmtId="0" fontId="13" fillId="0" borderId="15" xfId="2" applyFont="1" applyBorder="1" applyAlignment="1">
      <alignment vertical="center"/>
    </xf>
    <xf numFmtId="0" fontId="13" fillId="0" borderId="13" xfId="2" applyFont="1" applyBorder="1" applyAlignment="1">
      <alignment vertical="center"/>
    </xf>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5" fillId="3" borderId="50" xfId="2" applyFont="1" applyFill="1" applyBorder="1" applyAlignment="1">
      <alignment horizontal="left" vertical="center" wrapText="1"/>
    </xf>
    <xf numFmtId="0" fontId="15" fillId="3" borderId="0" xfId="2" applyFont="1" applyFill="1" applyAlignment="1">
      <alignment horizontal="left" vertical="center" wrapText="1"/>
    </xf>
    <xf numFmtId="0" fontId="15" fillId="3" borderId="51" xfId="2" applyFont="1" applyFill="1" applyBorder="1" applyAlignment="1">
      <alignment horizontal="left" vertical="center" wrapText="1"/>
    </xf>
    <xf numFmtId="0" fontId="19" fillId="3" borderId="50" xfId="2" applyFont="1" applyFill="1" applyBorder="1" applyAlignment="1">
      <alignment horizontal="left" vertical="center" wrapText="1" shrinkToFit="1"/>
    </xf>
    <xf numFmtId="0" fontId="18" fillId="3" borderId="0" xfId="2" applyFont="1" applyFill="1" applyAlignment="1">
      <alignment horizontal="left" vertical="center" wrapText="1" shrinkToFit="1"/>
    </xf>
    <xf numFmtId="0" fontId="18" fillId="3" borderId="51" xfId="2" applyFont="1" applyFill="1" applyBorder="1" applyAlignment="1">
      <alignment horizontal="left" vertical="center" wrapText="1" shrinkToFit="1"/>
    </xf>
    <xf numFmtId="0" fontId="18" fillId="3" borderId="50" xfId="2" applyFont="1" applyFill="1" applyBorder="1" applyAlignment="1">
      <alignment horizontal="left" vertical="center" wrapText="1" shrinkToFi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0" fillId="0" borderId="50" xfId="2" applyFont="1" applyBorder="1" applyAlignment="1">
      <alignment vertical="center"/>
    </xf>
    <xf numFmtId="0" fontId="10" fillId="6" borderId="12" xfId="2" applyFont="1" applyFill="1" applyBorder="1" applyAlignment="1">
      <alignment vertical="center" wrapText="1"/>
    </xf>
    <xf numFmtId="0" fontId="10" fillId="6" borderId="55" xfId="2" applyFont="1" applyFill="1" applyBorder="1" applyAlignment="1">
      <alignment vertical="center" wrapText="1"/>
    </xf>
    <xf numFmtId="0" fontId="13" fillId="0" borderId="14" xfId="2" applyFont="1" applyBorder="1" applyAlignment="1">
      <alignment vertical="center"/>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0" borderId="0" xfId="2" applyFont="1" applyAlignment="1">
      <alignment horizontal="center" vertical="center"/>
    </xf>
    <xf numFmtId="0" fontId="10" fillId="36" borderId="11" xfId="2" applyFont="1" applyFill="1" applyBorder="1" applyAlignment="1" applyProtection="1">
      <alignment vertical="center" wrapText="1"/>
      <protection locked="0"/>
    </xf>
    <xf numFmtId="0" fontId="13" fillId="28" borderId="13" xfId="2" applyFont="1" applyFill="1" applyBorder="1" applyAlignment="1" applyProtection="1">
      <alignment vertical="center"/>
      <protection locked="0"/>
    </xf>
    <xf numFmtId="0" fontId="34" fillId="7" borderId="16" xfId="2" applyFont="1" applyFill="1" applyBorder="1" applyAlignment="1">
      <alignment vertical="center" wrapText="1"/>
    </xf>
    <xf numFmtId="0" fontId="13" fillId="0" borderId="17" xfId="2" applyFont="1" applyBorder="1" applyAlignment="1">
      <alignment vertical="center"/>
    </xf>
    <xf numFmtId="0" fontId="13" fillId="0" borderId="18" xfId="2" applyFont="1" applyBorder="1" applyAlignment="1">
      <alignment vertical="center"/>
    </xf>
    <xf numFmtId="0" fontId="66" fillId="15" borderId="0" xfId="2" applyFont="1" applyFill="1" applyAlignment="1">
      <alignment vertical="center" wrapText="1"/>
    </xf>
    <xf numFmtId="0" fontId="70" fillId="15" borderId="0" xfId="2" applyFont="1" applyFill="1" applyAlignment="1">
      <alignment vertical="center"/>
    </xf>
    <xf numFmtId="0" fontId="19" fillId="3" borderId="5" xfId="2" applyFont="1" applyFill="1" applyBorder="1" applyAlignment="1">
      <alignment vertical="center" wrapText="1"/>
    </xf>
    <xf numFmtId="0" fontId="19" fillId="3" borderId="16" xfId="2" applyFont="1" applyFill="1" applyBorder="1" applyAlignment="1">
      <alignment vertical="center" wrapText="1"/>
    </xf>
    <xf numFmtId="0" fontId="19" fillId="3" borderId="5" xfId="2" applyFont="1" applyFill="1" applyBorder="1" applyAlignment="1">
      <alignment vertical="center"/>
    </xf>
    <xf numFmtId="0" fontId="15" fillId="3" borderId="5" xfId="2" applyFont="1" applyFill="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8" fillId="3" borderId="5" xfId="2" applyFont="1" applyFill="1" applyBorder="1" applyAlignment="1">
      <alignment vertical="center" wrapText="1"/>
    </xf>
    <xf numFmtId="0" fontId="9" fillId="0" borderId="0" xfId="2" applyFont="1" applyAlignment="1">
      <alignment vertical="center"/>
    </xf>
    <xf numFmtId="0" fontId="16" fillId="3" borderId="50" xfId="2" applyFont="1" applyFill="1" applyBorder="1" applyAlignment="1">
      <alignment horizontal="left" vertical="center" wrapText="1"/>
    </xf>
    <xf numFmtId="0" fontId="16" fillId="3" borderId="0" xfId="2" applyFont="1" applyFill="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horizontal="left" vertical="center" wrapText="1"/>
    </xf>
    <xf numFmtId="0" fontId="20" fillId="3" borderId="0" xfId="2" applyFont="1" applyFill="1" applyAlignment="1">
      <alignment horizontal="left" vertical="center" wrapText="1"/>
    </xf>
    <xf numFmtId="0" fontId="20" fillId="3" borderId="6" xfId="2" applyFont="1" applyFill="1" applyBorder="1" applyAlignment="1">
      <alignment horizontal="lef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8" fillId="7" borderId="5" xfId="2" applyFont="1" applyFill="1" applyBorder="1" applyAlignment="1">
      <alignment vertical="center" wrapText="1"/>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 fillId="0" borderId="0" xfId="2" applyFont="1" applyAlignment="1">
      <alignment horizontal="center" vertical="center"/>
    </xf>
    <xf numFmtId="0" fontId="10" fillId="16" borderId="11" xfId="2" applyFont="1" applyFill="1" applyBorder="1" applyAlignment="1">
      <alignment vertical="center" wrapText="1"/>
    </xf>
    <xf numFmtId="0" fontId="13" fillId="18" borderId="15" xfId="2" applyFont="1" applyFill="1" applyBorder="1" applyAlignment="1">
      <alignment vertical="center"/>
    </xf>
    <xf numFmtId="0" fontId="13" fillId="18" borderId="13" xfId="2" applyFont="1" applyFill="1" applyBorder="1" applyAlignment="1">
      <alignment vertical="center"/>
    </xf>
    <xf numFmtId="0" fontId="10" fillId="5" borderId="11" xfId="2" applyFont="1" applyFill="1" applyBorder="1" applyAlignment="1" applyProtection="1">
      <alignment vertical="center" wrapText="1"/>
      <protection locked="0"/>
    </xf>
    <xf numFmtId="0" fontId="13" fillId="0" borderId="15" xfId="2" applyFont="1" applyBorder="1" applyAlignment="1" applyProtection="1">
      <alignment vertical="center"/>
      <protection locked="0"/>
    </xf>
    <xf numFmtId="0" fontId="20" fillId="3" borderId="5" xfId="2" applyFont="1" applyFill="1" applyBorder="1" applyAlignment="1">
      <alignmen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4" fillId="0" borderId="57" xfId="2" applyFont="1" applyBorder="1" applyAlignment="1">
      <alignment horizontal="right" vertical="center"/>
    </xf>
    <xf numFmtId="0" fontId="13" fillId="0" borderId="58" xfId="2" applyFont="1" applyBorder="1" applyAlignment="1">
      <alignment vertical="center"/>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 fillId="0" borderId="37" xfId="2" applyFont="1" applyBorder="1" applyAlignment="1">
      <alignment horizontal="center" vertical="center"/>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0" fillId="0" borderId="15" xfId="2" applyFont="1" applyBorder="1" applyAlignment="1">
      <alignment horizontal="center" vertical="center"/>
    </xf>
    <xf numFmtId="0" fontId="10" fillId="5" borderId="11" xfId="2" applyFont="1" applyFill="1" applyBorder="1" applyAlignment="1">
      <alignment vertical="center" wrapText="1"/>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8" fillId="7" borderId="0" xfId="2" applyFont="1" applyFill="1" applyAlignment="1">
      <alignment vertical="center" wrapText="1"/>
    </xf>
    <xf numFmtId="0" fontId="10" fillId="27" borderId="11" xfId="2" applyFont="1" applyFill="1" applyBorder="1" applyAlignment="1" applyProtection="1">
      <alignment vertical="center" wrapText="1"/>
      <protection locked="0"/>
    </xf>
    <xf numFmtId="0" fontId="13" fillId="28" borderId="15" xfId="2" applyFont="1" applyFill="1" applyBorder="1" applyAlignment="1" applyProtection="1">
      <alignment vertical="center"/>
      <protection locked="0"/>
    </xf>
    <xf numFmtId="0" fontId="10" fillId="6" borderId="0" xfId="2" applyFont="1" applyFill="1" applyAlignment="1" applyProtection="1">
      <alignment horizontal="center" vertical="center" wrapText="1"/>
      <protection locked="0"/>
    </xf>
    <xf numFmtId="0" fontId="10" fillId="6" borderId="27" xfId="2" applyFont="1" applyFill="1" applyBorder="1" applyAlignment="1" applyProtection="1">
      <alignment vertical="center" wrapText="1"/>
      <protection locked="0"/>
    </xf>
    <xf numFmtId="0" fontId="13" fillId="0" borderId="28" xfId="2" applyFont="1" applyBorder="1" applyAlignment="1" applyProtection="1">
      <alignment vertical="center"/>
      <protection locked="0"/>
    </xf>
    <xf numFmtId="0" fontId="13" fillId="0" borderId="29" xfId="2" applyFont="1" applyBorder="1" applyAlignment="1" applyProtection="1">
      <alignment vertical="center"/>
      <protection locked="0"/>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3" fillId="0" borderId="24" xfId="2" applyFont="1" applyBorder="1" applyAlignment="1">
      <alignment vertical="center"/>
    </xf>
    <xf numFmtId="0" fontId="10" fillId="8" borderId="0" xfId="2" applyFont="1" applyFill="1" applyAlignment="1">
      <alignment vertical="center" wrapText="1"/>
    </xf>
    <xf numFmtId="0" fontId="5" fillId="0" borderId="0" xfId="1" applyAlignment="1">
      <alignment horizontal="center"/>
    </xf>
    <xf numFmtId="0" fontId="5" fillId="0" borderId="0" xfId="1"/>
    <xf numFmtId="0" fontId="18" fillId="3" borderId="0" xfId="2" applyFont="1" applyFill="1" applyAlignment="1">
      <alignment vertical="top" wrapText="1"/>
    </xf>
    <xf numFmtId="0" fontId="18" fillId="7" borderId="5" xfId="2" applyFont="1" applyFill="1" applyBorder="1" applyAlignment="1">
      <alignment vertical="top" wrapText="1"/>
    </xf>
    <xf numFmtId="0" fontId="34" fillId="0" borderId="24" xfId="2" applyFont="1" applyBorder="1"/>
    <xf numFmtId="0" fontId="13" fillId="0" borderId="24" xfId="2" applyFont="1" applyBorder="1"/>
    <xf numFmtId="0" fontId="10" fillId="8" borderId="0" xfId="2" applyFont="1" applyFill="1" applyAlignment="1">
      <alignment vertical="top" wrapText="1"/>
    </xf>
    <xf numFmtId="0" fontId="18" fillId="0" borderId="0" xfId="2" applyFont="1" applyAlignment="1">
      <alignment vertical="top" wrapText="1"/>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31" fillId="3" borderId="0" xfId="2" applyFont="1" applyFill="1" applyAlignment="1">
      <alignment horizontal="left" wrapText="1"/>
    </xf>
    <xf numFmtId="0" fontId="18" fillId="7" borderId="0" xfId="2" applyFont="1" applyFill="1" applyAlignment="1">
      <alignment vertical="top" wrapText="1"/>
    </xf>
    <xf numFmtId="0" fontId="18" fillId="3" borderId="5" xfId="2" applyFont="1" applyFill="1" applyBorder="1" applyAlignment="1">
      <alignment wrapText="1"/>
    </xf>
    <xf numFmtId="0" fontId="19" fillId="3" borderId="5" xfId="2" applyFont="1" applyFill="1" applyBorder="1" applyAlignment="1">
      <alignment horizontal="left" wrapText="1"/>
    </xf>
    <xf numFmtId="0" fontId="19" fillId="3" borderId="0" xfId="2" applyFont="1" applyFill="1" applyAlignment="1">
      <alignment horizontal="left" wrapText="1"/>
    </xf>
    <xf numFmtId="0" fontId="19" fillId="3" borderId="6" xfId="2" applyFont="1" applyFill="1" applyBorder="1" applyAlignment="1">
      <alignment horizontal="lef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12" fillId="3" borderId="5" xfId="2" applyFont="1" applyFill="1" applyBorder="1" applyAlignment="1">
      <alignment horizontal="left" vertical="center" wrapText="1"/>
    </xf>
    <xf numFmtId="0" fontId="12" fillId="3" borderId="0" xfId="2" applyFont="1" applyFill="1" applyAlignment="1">
      <alignment horizontal="left" vertical="center" wrapText="1"/>
    </xf>
    <xf numFmtId="0" fontId="12" fillId="3" borderId="6" xfId="2" applyFont="1" applyFill="1" applyBorder="1" applyAlignment="1">
      <alignment horizontal="left" vertical="center" wrapText="1"/>
    </xf>
    <xf numFmtId="0" fontId="16" fillId="3" borderId="50" xfId="2" applyFont="1" applyFill="1" applyBorder="1" applyAlignment="1">
      <alignment vertical="center" wrapText="1"/>
    </xf>
    <xf numFmtId="0" fontId="16" fillId="3" borderId="50" xfId="2" applyFont="1" applyFill="1" applyBorder="1" applyAlignment="1">
      <alignment horizontal="left" vertical="center"/>
    </xf>
    <xf numFmtId="0" fontId="15" fillId="3" borderId="0" xfId="2" applyFont="1" applyFill="1" applyAlignment="1">
      <alignment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13" fillId="0" borderId="54" xfId="2" applyFont="1" applyBorder="1" applyAlignment="1">
      <alignment vertical="center"/>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4" fillId="0" borderId="0" xfId="2" applyFont="1" applyAlignment="1">
      <alignment vertical="center"/>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39" fillId="16" borderId="34" xfId="2" applyFont="1" applyFill="1" applyBorder="1" applyAlignment="1">
      <alignment vertical="center" wrapText="1"/>
    </xf>
    <xf numFmtId="0" fontId="10" fillId="8" borderId="11" xfId="2" applyFont="1" applyFill="1" applyBorder="1" applyAlignment="1">
      <alignment vertical="center" wrapText="1"/>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0" fillId="0" borderId="11" xfId="2" applyFont="1" applyBorder="1" applyAlignment="1">
      <alignment vertical="center" wrapText="1"/>
    </xf>
    <xf numFmtId="0" fontId="13" fillId="18" borderId="44" xfId="2" applyFont="1" applyFill="1" applyBorder="1" applyAlignment="1">
      <alignment vertical="center"/>
    </xf>
    <xf numFmtId="0" fontId="37" fillId="0" borderId="0" xfId="2" applyFont="1" applyAlignment="1">
      <alignment horizontal="center" vertical="center"/>
    </xf>
    <xf numFmtId="0" fontId="10" fillId="25" borderId="11" xfId="2" applyFont="1" applyFill="1" applyBorder="1" applyAlignment="1">
      <alignment vertical="center" wrapText="1"/>
    </xf>
    <xf numFmtId="0" fontId="13" fillId="18" borderId="46" xfId="2" applyFont="1" applyFill="1" applyBorder="1" applyAlignment="1">
      <alignment vertical="center"/>
    </xf>
    <xf numFmtId="0" fontId="13" fillId="18" borderId="37" xfId="2" applyFont="1" applyFill="1" applyBorder="1" applyAlignment="1">
      <alignment vertical="center"/>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34" fillId="0" borderId="0" xfId="2" applyFont="1"/>
    <xf numFmtId="0" fontId="10" fillId="29" borderId="38" xfId="2" applyFont="1" applyFill="1" applyBorder="1" applyAlignment="1" applyProtection="1">
      <alignment vertical="top" wrapText="1"/>
      <protection locked="0"/>
    </xf>
    <xf numFmtId="0" fontId="13" fillId="18" borderId="39" xfId="2" applyFont="1" applyFill="1" applyBorder="1" applyProtection="1">
      <protection locked="0"/>
    </xf>
    <xf numFmtId="0" fontId="13" fillId="18" borderId="40" xfId="2" applyFont="1" applyFill="1" applyBorder="1" applyProtection="1">
      <protection locked="0"/>
    </xf>
    <xf numFmtId="0" fontId="13" fillId="18" borderId="41" xfId="2" applyFont="1" applyFill="1" applyBorder="1" applyProtection="1">
      <protection locked="0"/>
    </xf>
    <xf numFmtId="0" fontId="7" fillId="18" borderId="0" xfId="2" applyFill="1" applyProtection="1">
      <protection locked="0"/>
    </xf>
    <xf numFmtId="0" fontId="13" fillId="18" borderId="42" xfId="2" applyFont="1" applyFill="1" applyBorder="1" applyProtection="1">
      <protection locked="0"/>
    </xf>
    <xf numFmtId="0" fontId="13" fillId="18" borderId="43" xfId="2" applyFont="1" applyFill="1" applyBorder="1" applyProtection="1">
      <protection locked="0"/>
    </xf>
    <xf numFmtId="0" fontId="13" fillId="18" borderId="44" xfId="2" applyFont="1" applyFill="1" applyBorder="1" applyProtection="1">
      <protection locked="0"/>
    </xf>
    <xf numFmtId="0" fontId="13" fillId="18" borderId="45" xfId="2" applyFont="1" applyFill="1" applyBorder="1" applyProtection="1">
      <protection locked="0"/>
    </xf>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0" fillId="16" borderId="11" xfId="2" applyFont="1" applyFill="1" applyBorder="1" applyAlignment="1" applyProtection="1">
      <alignment vertical="top" wrapText="1"/>
      <protection locked="0"/>
    </xf>
    <xf numFmtId="0" fontId="13" fillId="18" borderId="15" xfId="2" applyFont="1" applyFill="1" applyBorder="1" applyProtection="1">
      <protection locked="0"/>
    </xf>
    <xf numFmtId="0" fontId="13" fillId="18" borderId="13" xfId="2" applyFont="1" applyFill="1" applyBorder="1" applyProtection="1">
      <protection locked="0"/>
    </xf>
    <xf numFmtId="0" fontId="10" fillId="36" borderId="11" xfId="2" applyFont="1" applyFill="1" applyBorder="1" applyAlignment="1" applyProtection="1">
      <alignment vertical="top" wrapText="1"/>
      <protection locked="0"/>
    </xf>
    <xf numFmtId="0" fontId="13" fillId="28" borderId="15" xfId="2" applyFont="1" applyFill="1" applyBorder="1" applyProtection="1">
      <protection locked="0"/>
    </xf>
    <xf numFmtId="0" fontId="13" fillId="28" borderId="13" xfId="2" applyFont="1" applyFill="1" applyBorder="1" applyProtection="1">
      <protection locked="0"/>
    </xf>
    <xf numFmtId="0" fontId="10" fillId="8" borderId="11" xfId="2" applyFont="1" applyFill="1" applyBorder="1" applyAlignment="1">
      <alignment vertical="top" wrapText="1"/>
    </xf>
    <xf numFmtId="0" fontId="13" fillId="0" borderId="13" xfId="2" applyFont="1" applyBorder="1"/>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0" fillId="0" borderId="11" xfId="2" applyFont="1" applyBorder="1" applyAlignment="1">
      <alignment vertical="top" wrapText="1"/>
    </xf>
    <xf numFmtId="0" fontId="39" fillId="30" borderId="34" xfId="2" applyFont="1" applyFill="1" applyBorder="1" applyAlignment="1" applyProtection="1">
      <alignment vertical="top" wrapText="1"/>
      <protection locked="0"/>
    </xf>
    <xf numFmtId="0" fontId="13" fillId="0" borderId="15" xfId="2" applyFont="1" applyBorder="1"/>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31" fillId="3" borderId="5" xfId="2" applyFont="1" applyFill="1" applyBorder="1" applyAlignment="1">
      <alignment horizontal="left" vertical="center" wrapText="1"/>
    </xf>
    <xf numFmtId="0" fontId="10" fillId="5" borderId="27" xfId="2" applyFont="1" applyFill="1" applyBorder="1" applyAlignment="1">
      <alignment vertical="center" wrapText="1"/>
    </xf>
    <xf numFmtId="0" fontId="13" fillId="0" borderId="29" xfId="2" applyFont="1" applyBorder="1" applyAlignment="1">
      <alignment vertical="center"/>
    </xf>
    <xf numFmtId="0" fontId="13" fillId="0" borderId="46" xfId="2" applyFont="1" applyBorder="1" applyAlignment="1">
      <alignment vertical="center"/>
    </xf>
    <xf numFmtId="0" fontId="13" fillId="0" borderId="37" xfId="2" applyFont="1" applyBorder="1" applyAlignment="1">
      <alignment vertical="center"/>
    </xf>
    <xf numFmtId="0" fontId="13" fillId="0" borderId="30" xfId="2" applyFont="1" applyBorder="1" applyAlignment="1">
      <alignment vertical="center"/>
    </xf>
    <xf numFmtId="0" fontId="13" fillId="0" borderId="32" xfId="2" applyFont="1" applyBorder="1" applyAlignment="1">
      <alignment vertical="center"/>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10" fillId="16" borderId="11" xfId="2" applyFont="1" applyFill="1" applyBorder="1" applyAlignment="1" applyProtection="1">
      <alignment vertical="center" wrapText="1"/>
      <protection locked="0"/>
    </xf>
    <xf numFmtId="0" fontId="13" fillId="18" borderId="13" xfId="2" applyFont="1" applyFill="1" applyBorder="1" applyAlignment="1" applyProtection="1">
      <alignment vertical="center"/>
      <protection locked="0"/>
    </xf>
    <xf numFmtId="0" fontId="10" fillId="5" borderId="28" xfId="2" applyFont="1" applyFill="1" applyBorder="1" applyAlignment="1" applyProtection="1">
      <alignment horizontal="left" vertical="center" wrapText="1"/>
      <protection locked="0"/>
    </xf>
    <xf numFmtId="0" fontId="10" fillId="5" borderId="0" xfId="2" applyFont="1" applyFill="1" applyAlignment="1" applyProtection="1">
      <alignment horizontal="left" vertical="center" wrapText="1"/>
      <protection locked="0"/>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34" fillId="0" borderId="0" xfId="2" applyFont="1" applyAlignment="1">
      <alignment horizontal="center" vertical="center"/>
    </xf>
    <xf numFmtId="0" fontId="34" fillId="0" borderId="0" xfId="2" applyFont="1" applyAlignment="1">
      <alignment vertical="center" wrapText="1"/>
    </xf>
    <xf numFmtId="0" fontId="10" fillId="5" borderId="27" xfId="2" applyFont="1" applyFill="1" applyBorder="1" applyAlignment="1" applyProtection="1">
      <alignment vertical="center" wrapText="1"/>
      <protection locked="0"/>
    </xf>
    <xf numFmtId="0" fontId="13" fillId="0" borderId="30" xfId="2" applyFont="1" applyBorder="1" applyAlignment="1" applyProtection="1">
      <alignment vertical="center"/>
      <protection locked="0"/>
    </xf>
    <xf numFmtId="0" fontId="13" fillId="0" borderId="31" xfId="2" applyFont="1" applyBorder="1" applyAlignment="1" applyProtection="1">
      <alignment vertical="center"/>
      <protection locked="0"/>
    </xf>
    <xf numFmtId="0" fontId="13" fillId="0" borderId="32" xfId="2" applyFont="1" applyBorder="1" applyAlignment="1" applyProtection="1">
      <alignment vertical="center"/>
      <protection locked="0"/>
    </xf>
    <xf numFmtId="0" fontId="10" fillId="9" borderId="11" xfId="2" applyFont="1" applyFill="1" applyBorder="1" applyAlignment="1" applyProtection="1">
      <alignment vertical="center" wrapText="1"/>
      <protection locked="0"/>
    </xf>
    <xf numFmtId="0" fontId="13" fillId="18" borderId="15" xfId="2" applyFont="1" applyFill="1" applyBorder="1" applyAlignment="1" applyProtection="1">
      <alignment vertical="center"/>
      <protection locked="0"/>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3" fillId="0" borderId="46" xfId="2" applyFont="1" applyBorder="1" applyAlignment="1" applyProtection="1">
      <alignment vertical="center"/>
      <protection locked="0"/>
    </xf>
    <xf numFmtId="0" fontId="7" fillId="0" borderId="0" xfId="2" applyAlignment="1" applyProtection="1">
      <alignment vertical="center"/>
      <protection locked="0"/>
    </xf>
    <xf numFmtId="0" fontId="13" fillId="0" borderId="37" xfId="2" applyFont="1" applyBorder="1" applyAlignment="1" applyProtection="1">
      <alignment vertical="center"/>
      <protection locked="0"/>
    </xf>
    <xf numFmtId="0" fontId="10" fillId="19" borderId="0" xfId="2" applyFont="1" applyFill="1" applyAlignment="1" applyProtection="1">
      <alignment horizontal="left" vertical="center" wrapText="1"/>
      <protection locked="0"/>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8" fillId="16" borderId="11" xfId="2" applyFont="1" applyFill="1" applyBorder="1" applyAlignment="1">
      <alignment vertical="center" wrapText="1"/>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9" borderId="11" xfId="2" applyFont="1" applyFill="1" applyBorder="1" applyAlignment="1">
      <alignment vertical="center" wrapText="1"/>
    </xf>
    <xf numFmtId="0" fontId="13" fillId="0" borderId="28" xfId="2" applyFont="1" applyBorder="1" applyAlignment="1">
      <alignment vertical="center"/>
    </xf>
    <xf numFmtId="0" fontId="13" fillId="0" borderId="31" xfId="2" applyFont="1" applyBorder="1" applyAlignment="1">
      <alignment vertical="center"/>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18" fillId="3" borderId="6" xfId="2" applyFont="1" applyFill="1" applyBorder="1" applyAlignment="1">
      <alignment horizontal="left" vertical="center" wrapText="1"/>
    </xf>
    <xf numFmtId="0" fontId="18" fillId="3" borderId="5" xfId="2" applyFont="1" applyFill="1" applyBorder="1" applyAlignment="1">
      <alignment horizontal="left" vertical="center" wrapText="1"/>
    </xf>
    <xf numFmtId="0" fontId="10" fillId="6" borderId="27" xfId="2" applyFont="1" applyFill="1" applyBorder="1" applyAlignment="1">
      <alignment vertical="center" wrapText="1"/>
    </xf>
    <xf numFmtId="0" fontId="10" fillId="6" borderId="34" xfId="2" applyFont="1" applyFill="1" applyBorder="1" applyAlignment="1" applyProtection="1">
      <alignment vertical="center" wrapText="1"/>
      <protection locked="0"/>
    </xf>
    <xf numFmtId="0" fontId="13" fillId="0" borderId="35" xfId="2" applyFont="1" applyBorder="1" applyAlignment="1" applyProtection="1">
      <alignment vertical="center"/>
      <protection locked="0"/>
    </xf>
    <xf numFmtId="0" fontId="13" fillId="0" borderId="36" xfId="2" applyFont="1" applyBorder="1" applyAlignment="1" applyProtection="1">
      <alignment vertical="center"/>
      <protection locked="0"/>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xf numFmtId="0" fontId="10" fillId="17" borderId="11" xfId="2" applyFont="1" applyFill="1" applyBorder="1" applyAlignment="1" applyProtection="1">
      <alignment vertical="center" wrapText="1"/>
      <protection locked="0"/>
    </xf>
    <xf numFmtId="0" fontId="10" fillId="6" borderId="11" xfId="2" applyFont="1" applyFill="1" applyBorder="1" applyAlignment="1" applyProtection="1">
      <alignment vertical="center" wrapText="1"/>
      <protection locked="0"/>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10" fillId="35" borderId="27" xfId="2" applyFont="1" applyFill="1" applyBorder="1" applyAlignment="1">
      <alignment horizontal="lef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0" fillId="6" borderId="34" xfId="2" applyFont="1" applyFill="1" applyBorder="1" applyAlignment="1">
      <alignment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9" borderId="27" xfId="2" applyFont="1" applyFill="1" applyBorder="1" applyAlignment="1">
      <alignment vertical="center" wrapText="1"/>
    </xf>
    <xf numFmtId="0" fontId="10" fillId="17" borderId="11" xfId="2" applyFont="1" applyFill="1" applyBorder="1" applyAlignment="1">
      <alignment vertical="center" wrapText="1"/>
    </xf>
    <xf numFmtId="0" fontId="18" fillId="3" borderId="17" xfId="2" applyFont="1" applyFill="1" applyBorder="1" applyAlignment="1">
      <alignment vertical="center" wrapText="1"/>
    </xf>
    <xf numFmtId="0" fontId="0" fillId="0" borderId="52" xfId="0"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61" fillId="0" borderId="0" xfId="2" applyFont="1" applyAlignment="1">
      <alignment horizontal="right" vertical="center"/>
    </xf>
    <xf numFmtId="0" fontId="76" fillId="0" borderId="0" xfId="0" applyFont="1" applyAlignment="1">
      <alignment vertical="center"/>
    </xf>
  </cellXfs>
  <cellStyles count="3">
    <cellStyle name="Hyperlink" xfId="1" builtinId="8"/>
    <cellStyle name="Normal" xfId="0" builtinId="0"/>
    <cellStyle name="Normal 2" xfId="2" xr:uid="{445BB961-CF3B-7E4E-BE5A-E268F4AE1B83}"/>
  </cellStyles>
  <dxfs count="29">
    <dxf>
      <fill>
        <patternFill patternType="solid">
          <fgColor rgb="FFB7E1CD"/>
          <bgColor rgb="FFB7E1CD"/>
        </patternFill>
      </fill>
    </dxf>
    <dxf>
      <fill>
        <patternFill patternType="solid">
          <fgColor rgb="FFB7E1CD"/>
          <bgColor rgb="FFB7E1CD"/>
        </patternFill>
      </fill>
    </dxf>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ED7D31"/>
      <color rgb="FFF5CCCD"/>
      <color rgb="FFB7E1CD"/>
      <color rgb="FFDAD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3.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N35"/>
  <sheetViews>
    <sheetView showGridLines="0" tabSelected="1" zoomScale="120" zoomScaleNormal="120" workbookViewId="0"/>
  </sheetViews>
  <sheetFormatPr baseColWidth="10" defaultRowHeight="16" x14ac:dyDescent="0.2"/>
  <cols>
    <col min="1" max="1" width="11.83203125" style="195" customWidth="1"/>
    <col min="2" max="2" width="12.33203125" style="195" customWidth="1"/>
    <col min="3" max="3" width="42.83203125" style="195" bestFit="1" customWidth="1"/>
    <col min="4" max="8" width="10.83203125" style="195"/>
    <col min="9" max="9" width="5.83203125" style="195" customWidth="1"/>
    <col min="10" max="16384" width="10.83203125" style="195"/>
  </cols>
  <sheetData>
    <row r="1" spans="1:14" ht="40" customHeight="1" x14ac:dyDescent="0.35">
      <c r="A1" s="86"/>
      <c r="B1" s="193" t="s">
        <v>500</v>
      </c>
      <c r="C1" s="194"/>
      <c r="D1" s="194"/>
      <c r="E1" s="194"/>
      <c r="F1" s="194"/>
      <c r="G1" s="194"/>
    </row>
    <row r="3" spans="1:14" ht="24" x14ac:dyDescent="0.2">
      <c r="B3" s="230" t="s">
        <v>598</v>
      </c>
    </row>
    <row r="4" spans="1:14" ht="17" customHeight="1" x14ac:dyDescent="0.2">
      <c r="B4" s="575" t="s">
        <v>633</v>
      </c>
    </row>
    <row r="5" spans="1:14" ht="12" customHeight="1" thickBot="1" x14ac:dyDescent="0.25"/>
    <row r="6" spans="1:14" ht="21" x14ac:dyDescent="0.2">
      <c r="B6" s="196" t="s">
        <v>0</v>
      </c>
      <c r="C6" s="197"/>
      <c r="D6" s="197"/>
      <c r="E6" s="197"/>
      <c r="F6" s="197"/>
      <c r="G6" s="197"/>
      <c r="H6" s="198"/>
      <c r="J6" s="196" t="s">
        <v>599</v>
      </c>
      <c r="K6" s="197"/>
      <c r="L6" s="197"/>
      <c r="M6" s="198"/>
    </row>
    <row r="7" spans="1:14" x14ac:dyDescent="0.2">
      <c r="B7" s="199" t="s">
        <v>546</v>
      </c>
      <c r="C7" s="200"/>
      <c r="D7" s="200"/>
      <c r="E7" s="200"/>
      <c r="F7" s="200"/>
      <c r="G7" s="200"/>
      <c r="H7" s="201"/>
      <c r="J7" s="248" t="s">
        <v>601</v>
      </c>
      <c r="K7" s="249"/>
      <c r="L7" s="249"/>
      <c r="M7" s="250"/>
    </row>
    <row r="8" spans="1:14" ht="16" customHeight="1" x14ac:dyDescent="0.2">
      <c r="B8" s="199" t="s">
        <v>523</v>
      </c>
      <c r="C8" s="200"/>
      <c r="D8" s="200"/>
      <c r="E8" s="200"/>
      <c r="F8" s="200"/>
      <c r="G8" s="200"/>
      <c r="H8" s="201"/>
      <c r="J8" s="248"/>
      <c r="K8" s="249"/>
      <c r="L8" s="249"/>
      <c r="M8" s="250"/>
      <c r="N8" s="231"/>
    </row>
    <row r="9" spans="1:14" ht="57" customHeight="1" x14ac:dyDescent="0.2">
      <c r="B9" s="242" t="s">
        <v>632</v>
      </c>
      <c r="C9" s="243"/>
      <c r="D9" s="243"/>
      <c r="E9" s="243"/>
      <c r="F9" s="243"/>
      <c r="G9" s="243"/>
      <c r="H9" s="244"/>
      <c r="J9" s="248"/>
      <c r="K9" s="249"/>
      <c r="L9" s="249"/>
      <c r="M9" s="250"/>
      <c r="N9" s="231"/>
    </row>
    <row r="10" spans="1:14" x14ac:dyDescent="0.2">
      <c r="B10" s="199" t="s">
        <v>524</v>
      </c>
      <c r="C10" s="200"/>
      <c r="D10" s="200"/>
      <c r="E10" s="200"/>
      <c r="F10" s="200"/>
      <c r="G10" s="200"/>
      <c r="H10" s="201"/>
      <c r="J10" s="259" t="s">
        <v>602</v>
      </c>
      <c r="K10" s="260"/>
      <c r="L10" s="260"/>
      <c r="M10" s="261"/>
      <c r="N10" s="231"/>
    </row>
    <row r="11" spans="1:14" x14ac:dyDescent="0.2">
      <c r="B11" s="202"/>
      <c r="H11" s="203"/>
      <c r="J11" s="256" t="s">
        <v>604</v>
      </c>
      <c r="K11" s="257"/>
      <c r="L11" s="257"/>
      <c r="M11" s="258"/>
    </row>
    <row r="12" spans="1:14" x14ac:dyDescent="0.2">
      <c r="B12" s="204" t="s">
        <v>4</v>
      </c>
      <c r="H12" s="203"/>
      <c r="J12" s="256"/>
      <c r="K12" s="257"/>
      <c r="L12" s="257"/>
      <c r="M12" s="258"/>
    </row>
    <row r="13" spans="1:14" ht="16" customHeight="1" x14ac:dyDescent="0.2">
      <c r="B13" s="205" t="s">
        <v>5</v>
      </c>
      <c r="C13" s="200"/>
      <c r="D13" s="200"/>
      <c r="E13" s="200"/>
      <c r="F13" s="200"/>
      <c r="G13" s="200"/>
      <c r="H13" s="201"/>
      <c r="J13" s="245" t="s">
        <v>600</v>
      </c>
      <c r="K13" s="246"/>
      <c r="L13" s="246"/>
      <c r="M13" s="247"/>
    </row>
    <row r="14" spans="1:14" x14ac:dyDescent="0.2">
      <c r="B14" s="199" t="s">
        <v>1</v>
      </c>
      <c r="C14" s="200"/>
      <c r="D14" s="200"/>
      <c r="E14" s="200"/>
      <c r="F14" s="200"/>
      <c r="G14" s="200"/>
      <c r="H14" s="201"/>
      <c r="J14" s="245"/>
      <c r="K14" s="246"/>
      <c r="L14" s="246"/>
      <c r="M14" s="247"/>
    </row>
    <row r="15" spans="1:14" ht="16" customHeight="1" x14ac:dyDescent="0.2">
      <c r="B15" s="199" t="s">
        <v>525</v>
      </c>
      <c r="C15" s="200"/>
      <c r="D15" s="200"/>
      <c r="E15" s="200"/>
      <c r="F15" s="200"/>
      <c r="G15" s="200"/>
      <c r="H15" s="201"/>
      <c r="J15" s="202"/>
      <c r="K15" s="254" t="s">
        <v>304</v>
      </c>
      <c r="L15" s="255"/>
      <c r="M15" s="203"/>
      <c r="N15" s="231"/>
    </row>
    <row r="16" spans="1:14" x14ac:dyDescent="0.2">
      <c r="B16" s="206" t="s">
        <v>2</v>
      </c>
      <c r="C16" s="221"/>
      <c r="D16" s="207" t="s">
        <v>10</v>
      </c>
      <c r="H16" s="203"/>
      <c r="J16" s="248" t="s">
        <v>603</v>
      </c>
      <c r="K16" s="249"/>
      <c r="L16" s="249"/>
      <c r="M16" s="250"/>
      <c r="N16" s="231"/>
    </row>
    <row r="17" spans="2:14" x14ac:dyDescent="0.2">
      <c r="B17" s="202"/>
      <c r="H17" s="203"/>
      <c r="J17" s="248"/>
      <c r="K17" s="249"/>
      <c r="L17" s="249"/>
      <c r="M17" s="250"/>
      <c r="N17" s="231"/>
    </row>
    <row r="18" spans="2:14" x14ac:dyDescent="0.2">
      <c r="B18" s="204" t="s">
        <v>3</v>
      </c>
      <c r="H18" s="203"/>
      <c r="J18" s="248"/>
      <c r="K18" s="249"/>
      <c r="L18" s="249"/>
      <c r="M18" s="250"/>
    </row>
    <row r="19" spans="2:14" ht="17" thickBot="1" x14ac:dyDescent="0.25">
      <c r="B19" s="199" t="s">
        <v>526</v>
      </c>
      <c r="C19" s="200"/>
      <c r="D19" s="200"/>
      <c r="E19" s="200"/>
      <c r="F19" s="200"/>
      <c r="G19" s="200"/>
      <c r="H19" s="201"/>
      <c r="J19" s="251"/>
      <c r="K19" s="252"/>
      <c r="L19" s="252"/>
      <c r="M19" s="253"/>
    </row>
    <row r="20" spans="2:14" x14ac:dyDescent="0.2">
      <c r="B20" s="206" t="s">
        <v>6</v>
      </c>
      <c r="C20" s="221"/>
      <c r="D20" s="207" t="s">
        <v>10</v>
      </c>
      <c r="H20" s="203"/>
    </row>
    <row r="21" spans="2:14" x14ac:dyDescent="0.2">
      <c r="B21" s="202"/>
      <c r="H21" s="203"/>
    </row>
    <row r="22" spans="2:14" x14ac:dyDescent="0.2">
      <c r="B22" s="206" t="s">
        <v>547</v>
      </c>
      <c r="H22" s="203"/>
    </row>
    <row r="23" spans="2:14" x14ac:dyDescent="0.2">
      <c r="B23" s="199" t="s">
        <v>545</v>
      </c>
      <c r="C23" s="200"/>
      <c r="D23" s="200"/>
      <c r="E23" s="200"/>
      <c r="F23" s="200"/>
      <c r="G23" s="200"/>
      <c r="H23" s="201"/>
    </row>
    <row r="24" spans="2:14" x14ac:dyDescent="0.2">
      <c r="B24" s="206" t="s">
        <v>7</v>
      </c>
      <c r="C24" s="221"/>
      <c r="D24" s="207" t="s">
        <v>10</v>
      </c>
      <c r="H24" s="203"/>
    </row>
    <row r="25" spans="2:14" x14ac:dyDescent="0.2">
      <c r="B25" s="206" t="s">
        <v>8</v>
      </c>
      <c r="C25" s="221"/>
      <c r="D25" s="207" t="s">
        <v>10</v>
      </c>
      <c r="H25" s="203"/>
    </row>
    <row r="26" spans="2:14" ht="17" thickBot="1" x14ac:dyDescent="0.25">
      <c r="B26" s="202"/>
      <c r="H26" s="203"/>
    </row>
    <row r="27" spans="2:14" ht="19" x14ac:dyDescent="0.2">
      <c r="B27" s="208" t="s">
        <v>548</v>
      </c>
      <c r="C27" s="197"/>
      <c r="D27" s="197"/>
      <c r="E27" s="197"/>
      <c r="F27" s="197"/>
      <c r="G27" s="197"/>
      <c r="H27" s="198"/>
    </row>
    <row r="28" spans="2:14" x14ac:dyDescent="0.2">
      <c r="B28" s="202"/>
      <c r="H28" s="203"/>
    </row>
    <row r="29" spans="2:14" x14ac:dyDescent="0.2">
      <c r="B29" s="202"/>
      <c r="H29" s="203"/>
    </row>
    <row r="30" spans="2:14" x14ac:dyDescent="0.2">
      <c r="B30" s="202"/>
      <c r="H30" s="203"/>
    </row>
    <row r="31" spans="2:14" x14ac:dyDescent="0.2">
      <c r="B31" s="202"/>
      <c r="H31" s="203"/>
    </row>
    <row r="32" spans="2:14" x14ac:dyDescent="0.2">
      <c r="B32" s="199" t="s">
        <v>527</v>
      </c>
      <c r="C32" s="200"/>
      <c r="D32" s="200"/>
      <c r="E32" s="200"/>
      <c r="F32" s="200"/>
      <c r="G32" s="200"/>
      <c r="H32" s="201"/>
    </row>
    <row r="33" spans="2:8" x14ac:dyDescent="0.2">
      <c r="B33" s="202"/>
      <c r="H33" s="203"/>
    </row>
    <row r="34" spans="2:8" x14ac:dyDescent="0.2">
      <c r="B34" s="206" t="s">
        <v>9</v>
      </c>
      <c r="C34" s="234"/>
      <c r="H34" s="203"/>
    </row>
    <row r="35" spans="2:8" ht="17" thickBot="1" x14ac:dyDescent="0.25">
      <c r="B35" s="209"/>
      <c r="C35" s="210"/>
      <c r="D35" s="210"/>
      <c r="E35" s="210"/>
      <c r="F35" s="210"/>
      <c r="G35" s="210"/>
      <c r="H35" s="211"/>
    </row>
  </sheetData>
  <sheetProtection algorithmName="SHA-512" hashValue="i+RIoyht/91/x/lww+AUq4HiUMKXHuJi5vF7WEawTN9MK7peadrYbraAaYvSMeLUlAgGqjyKCnk+xmrWIF5EgA==" saltValue="z599MpsDLTHYOkbOrWYuDA==" spinCount="100000" sheet="1" objects="1" scenarios="1"/>
  <mergeCells count="7">
    <mergeCell ref="B9:H9"/>
    <mergeCell ref="J13:M14"/>
    <mergeCell ref="J16:M19"/>
    <mergeCell ref="K15:L15"/>
    <mergeCell ref="J11:M12"/>
    <mergeCell ref="J7:M9"/>
    <mergeCell ref="J10:M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topLeftCell="A24" zoomScale="120" zoomScaleNormal="120" workbookViewId="0"/>
  </sheetViews>
  <sheetFormatPr baseColWidth="10" defaultColWidth="12.6640625" defaultRowHeight="15.75" customHeight="1" x14ac:dyDescent="0.2"/>
  <cols>
    <col min="1" max="1" width="11.6640625" style="1" customWidth="1"/>
    <col min="2" max="2" width="4.5" style="1" customWidth="1"/>
    <col min="3" max="3" width="1.1640625" style="1" customWidth="1"/>
    <col min="4" max="4" width="4" style="1" customWidth="1"/>
    <col min="5" max="7" width="12.6640625" style="1"/>
    <col min="8" max="8" width="76.5" style="1" customWidth="1"/>
    <col min="9" max="9" width="5.5" style="1" customWidth="1"/>
    <col min="10" max="16384" width="12.6640625" style="1"/>
  </cols>
  <sheetData>
    <row r="1" spans="1:8" ht="40" customHeight="1" x14ac:dyDescent="0.35">
      <c r="A1" s="86"/>
      <c r="B1" s="193" t="s">
        <v>500</v>
      </c>
    </row>
    <row r="2" spans="1:8" ht="21.75" customHeight="1" thickBot="1" x14ac:dyDescent="0.25"/>
    <row r="3" spans="1:8" ht="21" x14ac:dyDescent="0.25">
      <c r="B3" s="212" t="s">
        <v>501</v>
      </c>
      <c r="C3" s="8"/>
      <c r="D3" s="8"/>
      <c r="E3" s="8"/>
      <c r="F3" s="8"/>
      <c r="G3" s="8"/>
      <c r="H3" s="213"/>
    </row>
    <row r="4" spans="1:8" ht="15" thickBot="1" x14ac:dyDescent="0.25">
      <c r="B4" s="275" t="s">
        <v>502</v>
      </c>
      <c r="C4" s="276"/>
      <c r="D4" s="276"/>
      <c r="E4" s="276"/>
      <c r="F4" s="276"/>
      <c r="G4" s="276"/>
      <c r="H4" s="277"/>
    </row>
    <row r="5" spans="1:8" ht="21.75" customHeight="1" thickBot="1" x14ac:dyDescent="0.25"/>
    <row r="6" spans="1:8" ht="21" x14ac:dyDescent="0.25">
      <c r="B6" s="212" t="s">
        <v>503</v>
      </c>
      <c r="C6" s="8"/>
      <c r="D6" s="8"/>
      <c r="E6" s="8"/>
      <c r="F6" s="8"/>
      <c r="G6" s="8"/>
      <c r="H6" s="213"/>
    </row>
    <row r="7" spans="1:8" ht="14" x14ac:dyDescent="0.2">
      <c r="B7" s="278" t="s">
        <v>504</v>
      </c>
      <c r="C7" s="271"/>
      <c r="D7" s="271"/>
      <c r="E7" s="271"/>
      <c r="F7" s="271"/>
      <c r="G7" s="271"/>
      <c r="H7" s="272"/>
    </row>
    <row r="8" spans="1:8" ht="16.5" customHeight="1" x14ac:dyDescent="0.2">
      <c r="B8" s="9"/>
      <c r="H8" s="10"/>
    </row>
    <row r="9" spans="1:8" ht="14" x14ac:dyDescent="0.2">
      <c r="B9" s="279" t="s">
        <v>505</v>
      </c>
      <c r="C9" s="214"/>
      <c r="D9" s="267" t="s">
        <v>506</v>
      </c>
      <c r="E9" s="268"/>
      <c r="F9" s="268"/>
      <c r="G9" s="268"/>
      <c r="H9" s="269"/>
    </row>
    <row r="10" spans="1:8" ht="16" x14ac:dyDescent="0.2">
      <c r="B10" s="265"/>
      <c r="D10" s="11"/>
      <c r="E10" s="262" t="s">
        <v>0</v>
      </c>
      <c r="F10" s="262"/>
      <c r="H10" s="10"/>
    </row>
    <row r="11" spans="1:8" ht="8.25" customHeight="1" x14ac:dyDescent="0.2">
      <c r="B11" s="265"/>
      <c r="D11" s="11"/>
      <c r="H11" s="10"/>
    </row>
    <row r="12" spans="1:8" ht="14" x14ac:dyDescent="0.2">
      <c r="B12" s="273" t="s">
        <v>507</v>
      </c>
      <c r="C12" s="214"/>
      <c r="D12" s="267" t="s">
        <v>11</v>
      </c>
      <c r="E12" s="268"/>
      <c r="F12" s="268"/>
      <c r="G12" s="268"/>
      <c r="H12" s="269"/>
    </row>
    <row r="13" spans="1:8" ht="16" x14ac:dyDescent="0.2">
      <c r="B13" s="265"/>
      <c r="E13" s="215" t="s">
        <v>12</v>
      </c>
      <c r="H13" s="10"/>
    </row>
    <row r="14" spans="1:8" ht="16" x14ac:dyDescent="0.2">
      <c r="B14" s="265"/>
      <c r="E14" s="215" t="s">
        <v>508</v>
      </c>
      <c r="H14" s="10"/>
    </row>
    <row r="15" spans="1:8" ht="8.25" customHeight="1" x14ac:dyDescent="0.2">
      <c r="B15" s="265"/>
      <c r="H15" s="10"/>
    </row>
    <row r="16" spans="1:8" ht="14" x14ac:dyDescent="0.2">
      <c r="B16" s="265"/>
      <c r="D16" s="270" t="s">
        <v>48</v>
      </c>
      <c r="E16" s="271"/>
      <c r="F16" s="271"/>
      <c r="G16" s="271"/>
      <c r="H16" s="272"/>
    </row>
    <row r="17" spans="2:8" ht="16" x14ac:dyDescent="0.2">
      <c r="B17" s="265"/>
      <c r="E17" s="215" t="s">
        <v>12</v>
      </c>
      <c r="H17" s="10"/>
    </row>
    <row r="18" spans="2:8" ht="16" x14ac:dyDescent="0.2">
      <c r="B18" s="265"/>
      <c r="E18" s="215" t="s">
        <v>508</v>
      </c>
      <c r="H18" s="10"/>
    </row>
    <row r="19" spans="2:8" ht="8.25" customHeight="1" x14ac:dyDescent="0.2">
      <c r="B19" s="265"/>
      <c r="H19" s="10"/>
    </row>
    <row r="20" spans="2:8" ht="14" x14ac:dyDescent="0.2">
      <c r="B20" s="265"/>
      <c r="D20" s="270" t="s">
        <v>509</v>
      </c>
      <c r="E20" s="271"/>
      <c r="F20" s="271"/>
      <c r="G20" s="271"/>
      <c r="H20" s="272"/>
    </row>
    <row r="21" spans="2:8" ht="16" x14ac:dyDescent="0.2">
      <c r="B21" s="265"/>
      <c r="E21" s="215" t="s">
        <v>12</v>
      </c>
      <c r="H21" s="10"/>
    </row>
    <row r="22" spans="2:8" ht="16" x14ac:dyDescent="0.2">
      <c r="B22" s="265"/>
      <c r="E22" s="215" t="s">
        <v>508</v>
      </c>
      <c r="H22" s="10"/>
    </row>
    <row r="23" spans="2:8" ht="8.25" customHeight="1" x14ac:dyDescent="0.2">
      <c r="B23" s="265"/>
      <c r="H23" s="10"/>
    </row>
    <row r="24" spans="2:8" ht="14" x14ac:dyDescent="0.2">
      <c r="B24" s="274" t="s">
        <v>510</v>
      </c>
      <c r="C24" s="214"/>
      <c r="D24" s="267" t="s">
        <v>99</v>
      </c>
      <c r="E24" s="268"/>
      <c r="F24" s="268"/>
      <c r="G24" s="268"/>
      <c r="H24" s="269"/>
    </row>
    <row r="25" spans="2:8" ht="16" x14ac:dyDescent="0.2">
      <c r="B25" s="265"/>
      <c r="E25" s="215" t="s">
        <v>12</v>
      </c>
      <c r="H25" s="10"/>
    </row>
    <row r="26" spans="2:8" ht="16" x14ac:dyDescent="0.2">
      <c r="B26" s="265"/>
      <c r="E26" s="215" t="s">
        <v>508</v>
      </c>
      <c r="H26" s="10"/>
    </row>
    <row r="27" spans="2:8" ht="8.25" customHeight="1" x14ac:dyDescent="0.2">
      <c r="B27" s="265"/>
      <c r="H27" s="10"/>
    </row>
    <row r="28" spans="2:8" ht="14" x14ac:dyDescent="0.2">
      <c r="B28" s="265"/>
      <c r="D28" s="270" t="s">
        <v>139</v>
      </c>
      <c r="E28" s="271"/>
      <c r="F28" s="271"/>
      <c r="G28" s="271"/>
      <c r="H28" s="272"/>
    </row>
    <row r="29" spans="2:8" ht="16" x14ac:dyDescent="0.2">
      <c r="B29" s="265"/>
      <c r="E29" s="215" t="s">
        <v>12</v>
      </c>
      <c r="H29" s="10"/>
    </row>
    <row r="30" spans="2:8" ht="16" x14ac:dyDescent="0.2">
      <c r="B30" s="265"/>
      <c r="E30" s="215" t="s">
        <v>508</v>
      </c>
      <c r="H30" s="10"/>
    </row>
    <row r="31" spans="2:8" ht="8.25" customHeight="1" x14ac:dyDescent="0.2">
      <c r="B31" s="265"/>
      <c r="H31" s="10"/>
    </row>
    <row r="32" spans="2:8" ht="14" x14ac:dyDescent="0.2">
      <c r="B32" s="265"/>
      <c r="D32" s="270" t="s">
        <v>184</v>
      </c>
      <c r="E32" s="271"/>
      <c r="F32" s="271"/>
      <c r="G32" s="271"/>
      <c r="H32" s="272"/>
    </row>
    <row r="33" spans="2:8" ht="16" x14ac:dyDescent="0.2">
      <c r="B33" s="265"/>
      <c r="E33" s="215" t="s">
        <v>12</v>
      </c>
      <c r="H33" s="10"/>
    </row>
    <row r="34" spans="2:8" ht="16" x14ac:dyDescent="0.2">
      <c r="B34" s="265"/>
      <c r="E34" s="215" t="s">
        <v>508</v>
      </c>
      <c r="H34" s="10"/>
    </row>
    <row r="35" spans="2:8" ht="8.25" customHeight="1" x14ac:dyDescent="0.2">
      <c r="B35" s="265"/>
      <c r="H35" s="10"/>
    </row>
    <row r="36" spans="2:8" ht="14" x14ac:dyDescent="0.2">
      <c r="B36" s="265"/>
      <c r="D36" s="270" t="s">
        <v>511</v>
      </c>
      <c r="E36" s="271"/>
      <c r="F36" s="271"/>
      <c r="G36" s="271"/>
      <c r="H36" s="272"/>
    </row>
    <row r="37" spans="2:8" ht="16" x14ac:dyDescent="0.2">
      <c r="B37" s="265"/>
      <c r="E37" s="215" t="s">
        <v>12</v>
      </c>
      <c r="H37" s="10"/>
    </row>
    <row r="38" spans="2:8" ht="16" x14ac:dyDescent="0.2">
      <c r="B38" s="265"/>
      <c r="E38" s="215" t="s">
        <v>508</v>
      </c>
      <c r="H38" s="10"/>
    </row>
    <row r="39" spans="2:8" ht="8.25" customHeight="1" x14ac:dyDescent="0.2">
      <c r="B39" s="265"/>
      <c r="H39" s="10"/>
    </row>
    <row r="40" spans="2:8" ht="14" x14ac:dyDescent="0.2">
      <c r="B40" s="264" t="s">
        <v>512</v>
      </c>
      <c r="C40" s="214"/>
      <c r="D40" s="267" t="s">
        <v>273</v>
      </c>
      <c r="E40" s="268"/>
      <c r="F40" s="268"/>
      <c r="G40" s="268"/>
      <c r="H40" s="269"/>
    </row>
    <row r="41" spans="2:8" ht="16" x14ac:dyDescent="0.2">
      <c r="B41" s="265"/>
      <c r="E41" s="215" t="s">
        <v>12</v>
      </c>
      <c r="H41" s="10"/>
    </row>
    <row r="42" spans="2:8" ht="16" x14ac:dyDescent="0.2">
      <c r="B42" s="265"/>
      <c r="E42" s="215" t="s">
        <v>508</v>
      </c>
      <c r="H42" s="10"/>
    </row>
    <row r="43" spans="2:8" ht="8.25" customHeight="1" x14ac:dyDescent="0.2">
      <c r="B43" s="265"/>
      <c r="H43" s="10"/>
    </row>
    <row r="44" spans="2:8" ht="14" x14ac:dyDescent="0.2">
      <c r="B44" s="265"/>
      <c r="D44" s="270" t="s">
        <v>513</v>
      </c>
      <c r="E44" s="271"/>
      <c r="F44" s="271"/>
      <c r="G44" s="271"/>
      <c r="H44" s="272"/>
    </row>
    <row r="45" spans="2:8" ht="16" x14ac:dyDescent="0.2">
      <c r="B45" s="265"/>
      <c r="E45" s="262" t="s">
        <v>514</v>
      </c>
      <c r="F45" s="262"/>
      <c r="G45" s="262"/>
      <c r="H45" s="263"/>
    </row>
    <row r="46" spans="2:8" ht="16" x14ac:dyDescent="0.2">
      <c r="B46" s="265"/>
      <c r="E46" s="262" t="s">
        <v>515</v>
      </c>
      <c r="F46" s="262"/>
      <c r="G46" s="262"/>
      <c r="H46" s="10"/>
    </row>
    <row r="47" spans="2:8" ht="16" x14ac:dyDescent="0.2">
      <c r="B47" s="265"/>
      <c r="E47" s="262" t="s">
        <v>516</v>
      </c>
      <c r="F47" s="262"/>
      <c r="G47" s="262"/>
      <c r="H47" s="10"/>
    </row>
    <row r="48" spans="2:8" ht="16" x14ac:dyDescent="0.2">
      <c r="B48" s="265"/>
      <c r="E48" s="262" t="s">
        <v>517</v>
      </c>
      <c r="F48" s="262"/>
      <c r="G48" s="262"/>
      <c r="H48" s="10"/>
    </row>
    <row r="49" spans="2:8" ht="16" x14ac:dyDescent="0.2">
      <c r="B49" s="265"/>
      <c r="E49" s="262" t="s">
        <v>518</v>
      </c>
      <c r="F49" s="262"/>
      <c r="G49" s="2"/>
      <c r="H49" s="10"/>
    </row>
    <row r="50" spans="2:8" ht="8.25" customHeight="1" x14ac:dyDescent="0.2">
      <c r="B50" s="265"/>
      <c r="H50" s="10"/>
    </row>
    <row r="51" spans="2:8" ht="14" x14ac:dyDescent="0.2">
      <c r="B51" s="265"/>
      <c r="D51" s="270" t="s">
        <v>519</v>
      </c>
      <c r="E51" s="271"/>
      <c r="F51" s="271"/>
      <c r="G51" s="271"/>
      <c r="H51" s="272"/>
    </row>
    <row r="52" spans="2:8" ht="16" x14ac:dyDescent="0.2">
      <c r="B52" s="265"/>
      <c r="E52" s="262" t="s">
        <v>520</v>
      </c>
      <c r="F52" s="262"/>
      <c r="G52" s="2"/>
      <c r="H52" s="10"/>
    </row>
    <row r="53" spans="2:8" ht="16" x14ac:dyDescent="0.2">
      <c r="B53" s="265"/>
      <c r="E53" s="215" t="s">
        <v>521</v>
      </c>
      <c r="F53" s="2"/>
      <c r="G53" s="2"/>
      <c r="H53" s="10"/>
    </row>
    <row r="54" spans="2:8" ht="16" x14ac:dyDescent="0.2">
      <c r="B54" s="265"/>
      <c r="E54" s="262" t="s">
        <v>499</v>
      </c>
      <c r="F54" s="262"/>
      <c r="G54" s="262"/>
      <c r="H54" s="263"/>
    </row>
    <row r="55" spans="2:8" ht="8.25" customHeight="1" thickBot="1" x14ac:dyDescent="0.25">
      <c r="B55" s="266"/>
      <c r="C55" s="18"/>
      <c r="D55" s="18"/>
      <c r="E55" s="18"/>
      <c r="F55" s="18"/>
      <c r="G55" s="18"/>
      <c r="H55" s="19"/>
    </row>
    <row r="57" spans="2:8" ht="16" x14ac:dyDescent="0.2">
      <c r="B57" s="262" t="s">
        <v>549</v>
      </c>
      <c r="C57" s="262"/>
      <c r="D57" s="262"/>
      <c r="E57" s="262"/>
      <c r="F57" s="262"/>
      <c r="G57" s="216"/>
      <c r="H57" s="217" t="s">
        <v>522</v>
      </c>
    </row>
  </sheetData>
  <sheetProtection algorithmName="SHA-512" hashValue="peL++tU8aJeuBsY5+kx3Zy61lM2BGbZNlq911msELfzk4MS0TcTxBJmV4RwK6d6DNs9llns65SBMAuwM6UQcyg==" saltValue="YyF7eSa5MPAQVP7p1pte5g==" spinCount="100000" sheet="1" objects="1" scenarios="1"/>
  <mergeCells count="26">
    <mergeCell ref="B4:H4"/>
    <mergeCell ref="B7:H7"/>
    <mergeCell ref="B9:B11"/>
    <mergeCell ref="D9:H9"/>
    <mergeCell ref="E10:F10"/>
    <mergeCell ref="B12:B23"/>
    <mergeCell ref="D12:H12"/>
    <mergeCell ref="D16:H16"/>
    <mergeCell ref="D20:H20"/>
    <mergeCell ref="B24:B39"/>
    <mergeCell ref="D24:H24"/>
    <mergeCell ref="D28:H28"/>
    <mergeCell ref="D32:H32"/>
    <mergeCell ref="D36:H36"/>
    <mergeCell ref="E54:H54"/>
    <mergeCell ref="B57:F57"/>
    <mergeCell ref="B40:B55"/>
    <mergeCell ref="D40:H40"/>
    <mergeCell ref="D44:H44"/>
    <mergeCell ref="E45:H45"/>
    <mergeCell ref="E46:G46"/>
    <mergeCell ref="E47:G47"/>
    <mergeCell ref="E48:G48"/>
    <mergeCell ref="E49:F49"/>
    <mergeCell ref="D51:H51"/>
    <mergeCell ref="E52:F52"/>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heetViews>
  <sheetFormatPr baseColWidth="10" defaultColWidth="12.6640625" defaultRowHeight="14"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35">
      <c r="A1" s="86"/>
      <c r="B1" s="87" t="s">
        <v>11</v>
      </c>
    </row>
    <row r="2" spans="1:7" ht="15" thickBot="1" x14ac:dyDescent="0.25"/>
    <row r="3" spans="1:7" ht="21" x14ac:dyDescent="0.2">
      <c r="A3" s="22"/>
      <c r="B3" s="314" t="s">
        <v>12</v>
      </c>
      <c r="C3" s="315"/>
      <c r="D3" s="315"/>
      <c r="E3" s="316"/>
      <c r="F3" s="317"/>
      <c r="G3" s="22"/>
    </row>
    <row r="4" spans="1:7" ht="15" customHeight="1" x14ac:dyDescent="0.2">
      <c r="B4" s="318" t="s">
        <v>15</v>
      </c>
      <c r="C4" s="319"/>
      <c r="D4" s="319"/>
      <c r="E4" s="319"/>
      <c r="F4" s="320"/>
    </row>
    <row r="5" spans="1:7" ht="15" customHeight="1" x14ac:dyDescent="0.2">
      <c r="B5" s="108"/>
      <c r="C5" s="107"/>
      <c r="D5" s="107"/>
      <c r="E5" s="107"/>
      <c r="F5" s="109"/>
    </row>
    <row r="6" spans="1:7" ht="15" customHeight="1" x14ac:dyDescent="0.2">
      <c r="B6" s="321" t="s">
        <v>540</v>
      </c>
      <c r="C6" s="322"/>
      <c r="D6" s="322"/>
      <c r="E6" s="322"/>
      <c r="F6" s="323"/>
    </row>
    <row r="7" spans="1:7" ht="15" customHeight="1" x14ac:dyDescent="0.2">
      <c r="B7" s="324"/>
      <c r="C7" s="322"/>
      <c r="D7" s="322"/>
      <c r="E7" s="322"/>
      <c r="F7" s="323"/>
    </row>
    <row r="8" spans="1:7" ht="15" customHeight="1" x14ac:dyDescent="0.2">
      <c r="B8" s="324"/>
      <c r="C8" s="322"/>
      <c r="D8" s="322"/>
      <c r="E8" s="322"/>
      <c r="F8" s="323"/>
    </row>
    <row r="9" spans="1:7" ht="15" customHeight="1" thickBot="1" x14ac:dyDescent="0.25">
      <c r="B9" s="325"/>
      <c r="C9" s="326"/>
      <c r="D9" s="326"/>
      <c r="E9" s="326"/>
      <c r="F9" s="327"/>
    </row>
    <row r="10" spans="1:7" ht="15" thickBot="1" x14ac:dyDescent="0.25">
      <c r="B10" s="22"/>
      <c r="C10" s="22"/>
      <c r="D10" s="22"/>
      <c r="E10" s="22"/>
      <c r="F10" s="22"/>
    </row>
    <row r="11" spans="1:7" ht="21" x14ac:dyDescent="0.2">
      <c r="B11" s="314" t="s">
        <v>13</v>
      </c>
      <c r="C11" s="315"/>
      <c r="D11" s="315"/>
      <c r="E11" s="316"/>
      <c r="F11" s="317"/>
    </row>
    <row r="12" spans="1:7" ht="14" customHeight="1" x14ac:dyDescent="0.2">
      <c r="B12" s="290" t="s">
        <v>16</v>
      </c>
      <c r="C12" s="291"/>
      <c r="D12" s="291"/>
      <c r="E12" s="291"/>
      <c r="F12" s="292"/>
    </row>
    <row r="13" spans="1:7" x14ac:dyDescent="0.2">
      <c r="B13" s="113"/>
      <c r="F13" s="115"/>
    </row>
    <row r="14" spans="1:7" x14ac:dyDescent="0.2">
      <c r="B14" s="113"/>
      <c r="C14" s="95" t="s">
        <v>17</v>
      </c>
      <c r="E14" s="95" t="s">
        <v>18</v>
      </c>
      <c r="F14" s="115"/>
    </row>
    <row r="15" spans="1:7" ht="75" x14ac:dyDescent="0.2">
      <c r="B15" s="113"/>
      <c r="C15" s="117" t="s">
        <v>19</v>
      </c>
      <c r="D15" s="12" t="s">
        <v>20</v>
      </c>
      <c r="E15" s="96" t="s">
        <v>21</v>
      </c>
      <c r="F15" s="115"/>
    </row>
    <row r="16" spans="1:7" x14ac:dyDescent="0.2">
      <c r="B16" s="328"/>
      <c r="C16" s="283"/>
      <c r="D16" s="283"/>
      <c r="E16" s="283"/>
      <c r="F16" s="286"/>
    </row>
    <row r="17" spans="1:7" ht="75" x14ac:dyDescent="0.2">
      <c r="B17" s="113"/>
      <c r="C17" s="117" t="s">
        <v>22</v>
      </c>
      <c r="D17" s="12" t="s">
        <v>20</v>
      </c>
      <c r="E17" s="96" t="s">
        <v>23</v>
      </c>
      <c r="F17" s="115"/>
    </row>
    <row r="18" spans="1:7" x14ac:dyDescent="0.2">
      <c r="B18" s="113"/>
      <c r="F18" s="115"/>
    </row>
    <row r="19" spans="1:7" ht="75" x14ac:dyDescent="0.2">
      <c r="B19" s="113"/>
      <c r="C19" s="117" t="s">
        <v>24</v>
      </c>
      <c r="D19" s="12" t="s">
        <v>20</v>
      </c>
      <c r="E19" s="96" t="s">
        <v>25</v>
      </c>
      <c r="F19" s="115"/>
    </row>
    <row r="20" spans="1:7" x14ac:dyDescent="0.2">
      <c r="B20" s="113"/>
      <c r="F20" s="115"/>
    </row>
    <row r="21" spans="1:7" ht="14" customHeight="1" x14ac:dyDescent="0.2">
      <c r="B21" s="290" t="s">
        <v>26</v>
      </c>
      <c r="C21" s="291"/>
      <c r="D21" s="291"/>
      <c r="E21" s="291"/>
      <c r="F21" s="292"/>
    </row>
    <row r="22" spans="1:7" x14ac:dyDescent="0.2">
      <c r="B22" s="113"/>
      <c r="F22" s="115"/>
    </row>
    <row r="23" spans="1:7" x14ac:dyDescent="0.2">
      <c r="B23" s="113"/>
      <c r="C23" s="95" t="s">
        <v>17</v>
      </c>
      <c r="E23" s="95" t="s">
        <v>18</v>
      </c>
      <c r="F23" s="115"/>
    </row>
    <row r="24" spans="1:7" x14ac:dyDescent="0.2">
      <c r="A24" s="97"/>
      <c r="B24" s="114"/>
      <c r="C24" s="305" t="s">
        <v>27</v>
      </c>
      <c r="D24" s="309" t="s">
        <v>20</v>
      </c>
      <c r="E24" s="329" t="s">
        <v>532</v>
      </c>
      <c r="F24" s="116"/>
      <c r="G24" s="97"/>
    </row>
    <row r="25" spans="1:7" x14ac:dyDescent="0.2">
      <c r="A25" s="97"/>
      <c r="B25" s="114"/>
      <c r="C25" s="306"/>
      <c r="D25" s="309"/>
      <c r="E25" s="330"/>
      <c r="F25" s="116"/>
      <c r="G25" s="97"/>
    </row>
    <row r="26" spans="1:7" x14ac:dyDescent="0.2">
      <c r="A26" s="97"/>
      <c r="B26" s="114"/>
      <c r="C26" s="306"/>
      <c r="D26" s="309"/>
      <c r="E26" s="330"/>
      <c r="F26" s="116"/>
      <c r="G26" s="97"/>
    </row>
    <row r="27" spans="1:7" x14ac:dyDescent="0.2">
      <c r="A27" s="97"/>
      <c r="B27" s="114"/>
      <c r="C27" s="306"/>
      <c r="D27" s="309"/>
      <c r="E27" s="330"/>
      <c r="F27" s="116"/>
      <c r="G27" s="97"/>
    </row>
    <row r="28" spans="1:7" x14ac:dyDescent="0.2">
      <c r="A28" s="97"/>
      <c r="B28" s="114"/>
      <c r="C28" s="308"/>
      <c r="D28" s="283"/>
      <c r="E28" s="331"/>
      <c r="F28" s="116"/>
      <c r="G28" s="97"/>
    </row>
    <row r="29" spans="1:7" x14ac:dyDescent="0.2">
      <c r="B29" s="113"/>
      <c r="F29" s="115"/>
    </row>
    <row r="30" spans="1:7" ht="14" customHeight="1" x14ac:dyDescent="0.2">
      <c r="B30" s="287" t="s">
        <v>533</v>
      </c>
      <c r="C30" s="291"/>
      <c r="D30" s="291"/>
      <c r="E30" s="291"/>
      <c r="F30" s="292"/>
    </row>
    <row r="31" spans="1:7" x14ac:dyDescent="0.2">
      <c r="B31" s="113"/>
      <c r="F31" s="115"/>
    </row>
    <row r="32" spans="1:7" ht="15" x14ac:dyDescent="0.2">
      <c r="B32" s="304" t="s">
        <v>28</v>
      </c>
      <c r="C32" s="283"/>
      <c r="D32" s="283"/>
      <c r="E32" s="283"/>
      <c r="F32" s="286"/>
    </row>
    <row r="33" spans="2:6" x14ac:dyDescent="0.2">
      <c r="B33" s="113"/>
      <c r="F33" s="115"/>
    </row>
    <row r="34" spans="2:6" x14ac:dyDescent="0.2">
      <c r="B34" s="113"/>
      <c r="C34" s="95" t="s">
        <v>17</v>
      </c>
      <c r="E34" s="95" t="s">
        <v>18</v>
      </c>
      <c r="F34" s="115"/>
    </row>
    <row r="35" spans="2:6" ht="75" x14ac:dyDescent="0.2">
      <c r="B35" s="113"/>
      <c r="C35" s="147" t="s">
        <v>29</v>
      </c>
      <c r="D35" s="15" t="s">
        <v>20</v>
      </c>
      <c r="E35" s="101" t="s">
        <v>532</v>
      </c>
      <c r="F35" s="115"/>
    </row>
    <row r="36" spans="2:6" x14ac:dyDescent="0.2">
      <c r="B36" s="113"/>
      <c r="F36" s="115"/>
    </row>
    <row r="37" spans="2:6" ht="15" x14ac:dyDescent="0.2">
      <c r="B37" s="304" t="s">
        <v>534</v>
      </c>
      <c r="C37" s="283"/>
      <c r="D37" s="283"/>
      <c r="E37" s="283"/>
      <c r="F37" s="286"/>
    </row>
    <row r="38" spans="2:6" x14ac:dyDescent="0.2">
      <c r="B38" s="113"/>
      <c r="F38" s="115"/>
    </row>
    <row r="39" spans="2:6" ht="15" x14ac:dyDescent="0.2">
      <c r="B39" s="304" t="s">
        <v>30</v>
      </c>
      <c r="C39" s="283"/>
      <c r="D39" s="283"/>
      <c r="E39" s="283"/>
      <c r="F39" s="286"/>
    </row>
    <row r="40" spans="2:6" x14ac:dyDescent="0.2">
      <c r="B40" s="113"/>
      <c r="F40" s="115"/>
    </row>
    <row r="41" spans="2:6" x14ac:dyDescent="0.2">
      <c r="B41" s="113"/>
      <c r="C41" s="95" t="s">
        <v>17</v>
      </c>
      <c r="E41" s="95" t="s">
        <v>18</v>
      </c>
      <c r="F41" s="115"/>
    </row>
    <row r="42" spans="2:6" x14ac:dyDescent="0.2">
      <c r="B42" s="113"/>
      <c r="C42" s="305" t="s">
        <v>31</v>
      </c>
      <c r="D42" s="309" t="s">
        <v>20</v>
      </c>
      <c r="E42" s="310" t="s">
        <v>535</v>
      </c>
      <c r="F42" s="115"/>
    </row>
    <row r="43" spans="2:6" x14ac:dyDescent="0.2">
      <c r="B43" s="113"/>
      <c r="C43" s="306"/>
      <c r="D43" s="309"/>
      <c r="E43" s="311"/>
      <c r="F43" s="115"/>
    </row>
    <row r="44" spans="2:6" x14ac:dyDescent="0.2">
      <c r="B44" s="113"/>
      <c r="C44" s="306"/>
      <c r="D44" s="309"/>
      <c r="E44" s="311"/>
      <c r="F44" s="115"/>
    </row>
    <row r="45" spans="2:6" x14ac:dyDescent="0.2">
      <c r="B45" s="113"/>
      <c r="C45" s="307"/>
      <c r="D45" s="283"/>
      <c r="E45" s="312"/>
      <c r="F45" s="115"/>
    </row>
    <row r="46" spans="2:6" x14ac:dyDescent="0.2">
      <c r="B46" s="113"/>
      <c r="C46" s="308"/>
      <c r="D46" s="283"/>
      <c r="E46" s="313"/>
      <c r="F46" s="115"/>
    </row>
    <row r="47" spans="2:6" x14ac:dyDescent="0.2">
      <c r="B47" s="113"/>
      <c r="F47" s="115"/>
    </row>
    <row r="48" spans="2:6" x14ac:dyDescent="0.2">
      <c r="B48" s="285" t="s">
        <v>536</v>
      </c>
      <c r="C48" s="283"/>
      <c r="D48" s="283"/>
      <c r="E48" s="283"/>
      <c r="F48" s="286"/>
    </row>
    <row r="49" spans="2:6" x14ac:dyDescent="0.2">
      <c r="B49" s="113"/>
      <c r="F49" s="115"/>
    </row>
    <row r="50" spans="2:6" ht="14" customHeight="1" x14ac:dyDescent="0.2">
      <c r="B50" s="287" t="s">
        <v>32</v>
      </c>
      <c r="C50" s="288"/>
      <c r="D50" s="288"/>
      <c r="E50" s="288"/>
      <c r="F50" s="289"/>
    </row>
    <row r="51" spans="2:6" x14ac:dyDescent="0.2">
      <c r="B51" s="287"/>
      <c r="C51" s="288"/>
      <c r="D51" s="288"/>
      <c r="E51" s="288"/>
      <c r="F51" s="289"/>
    </row>
    <row r="52" spans="2:6" x14ac:dyDescent="0.2">
      <c r="B52" s="287"/>
      <c r="C52" s="288"/>
      <c r="D52" s="288"/>
      <c r="E52" s="288"/>
      <c r="F52" s="289"/>
    </row>
    <row r="53" spans="2:6" x14ac:dyDescent="0.2">
      <c r="B53" s="287"/>
      <c r="C53" s="288"/>
      <c r="D53" s="288"/>
      <c r="E53" s="288"/>
      <c r="F53" s="289"/>
    </row>
    <row r="54" spans="2:6" x14ac:dyDescent="0.2">
      <c r="B54" s="113"/>
      <c r="F54" s="115"/>
    </row>
    <row r="55" spans="2:6" ht="15" customHeight="1" x14ac:dyDescent="0.2">
      <c r="B55" s="290" t="s">
        <v>33</v>
      </c>
      <c r="C55" s="291"/>
      <c r="D55" s="291"/>
      <c r="E55" s="291"/>
      <c r="F55" s="292"/>
    </row>
    <row r="56" spans="2:6" ht="15" customHeight="1" thickBot="1" x14ac:dyDescent="0.25">
      <c r="B56" s="293"/>
      <c r="C56" s="294"/>
      <c r="D56" s="294"/>
      <c r="E56" s="294"/>
      <c r="F56" s="295"/>
    </row>
    <row r="58" spans="2:6" ht="16" x14ac:dyDescent="0.2">
      <c r="E58" s="299" t="s">
        <v>34</v>
      </c>
      <c r="F58" s="281"/>
    </row>
    <row r="59" spans="2:6" ht="15" thickBot="1" x14ac:dyDescent="0.25"/>
    <row r="60" spans="2:6" ht="21" x14ac:dyDescent="0.2">
      <c r="B60" s="300" t="s">
        <v>14</v>
      </c>
      <c r="C60" s="301"/>
      <c r="D60" s="301"/>
      <c r="E60" s="302"/>
      <c r="F60" s="303"/>
    </row>
    <row r="61" spans="2:6" ht="14" customHeight="1" x14ac:dyDescent="0.2">
      <c r="B61" s="296" t="s">
        <v>528</v>
      </c>
      <c r="C61" s="288"/>
      <c r="D61" s="288"/>
      <c r="E61" s="288"/>
      <c r="F61" s="297"/>
    </row>
    <row r="62" spans="2:6" x14ac:dyDescent="0.2">
      <c r="B62" s="296"/>
      <c r="C62" s="288"/>
      <c r="D62" s="288"/>
      <c r="E62" s="288"/>
      <c r="F62" s="297"/>
    </row>
    <row r="63" spans="2:6" x14ac:dyDescent="0.2">
      <c r="B63" s="296"/>
      <c r="C63" s="288"/>
      <c r="D63" s="288"/>
      <c r="E63" s="288"/>
      <c r="F63" s="297"/>
    </row>
    <row r="64" spans="2:6" x14ac:dyDescent="0.2">
      <c r="B64" s="93"/>
      <c r="F64" s="94"/>
    </row>
    <row r="65" spans="1:8" x14ac:dyDescent="0.2">
      <c r="B65" s="93"/>
      <c r="C65" s="95" t="s">
        <v>17</v>
      </c>
      <c r="E65" s="95" t="s">
        <v>18</v>
      </c>
      <c r="F65" s="94"/>
    </row>
    <row r="66" spans="1:8" ht="75" x14ac:dyDescent="0.2">
      <c r="B66" s="93"/>
      <c r="C66" s="218" t="s">
        <v>19</v>
      </c>
      <c r="D66" s="12" t="s">
        <v>20</v>
      </c>
      <c r="E66" s="232" t="s">
        <v>529</v>
      </c>
      <c r="F66" s="100"/>
      <c r="H66" s="102" t="s">
        <v>21</v>
      </c>
    </row>
    <row r="67" spans="1:8" x14ac:dyDescent="0.2">
      <c r="B67" s="282"/>
      <c r="C67" s="283"/>
      <c r="D67" s="283"/>
      <c r="E67" s="283"/>
      <c r="F67" s="284"/>
    </row>
    <row r="68" spans="1:8" ht="75" x14ac:dyDescent="0.2">
      <c r="B68" s="93"/>
      <c r="C68" s="218" t="s">
        <v>22</v>
      </c>
      <c r="D68" s="12" t="s">
        <v>20</v>
      </c>
      <c r="E68" s="232" t="s">
        <v>530</v>
      </c>
      <c r="F68" s="94"/>
    </row>
    <row r="69" spans="1:8" x14ac:dyDescent="0.2">
      <c r="B69" s="93"/>
      <c r="F69" s="94"/>
    </row>
    <row r="70" spans="1:8" ht="75" x14ac:dyDescent="0.2">
      <c r="B70" s="93"/>
      <c r="C70" s="218" t="s">
        <v>24</v>
      </c>
      <c r="D70" s="12" t="s">
        <v>20</v>
      </c>
      <c r="E70" s="232" t="s">
        <v>531</v>
      </c>
      <c r="F70" s="94"/>
    </row>
    <row r="71" spans="1:8" x14ac:dyDescent="0.2">
      <c r="B71" s="93"/>
      <c r="F71" s="94"/>
    </row>
    <row r="72" spans="1:8" ht="75" x14ac:dyDescent="0.2">
      <c r="A72" s="97"/>
      <c r="B72" s="98"/>
      <c r="C72" s="219" t="s">
        <v>27</v>
      </c>
      <c r="D72" s="15" t="s">
        <v>20</v>
      </c>
      <c r="E72" s="235" t="s">
        <v>532</v>
      </c>
      <c r="F72" s="100"/>
      <c r="G72" s="97"/>
    </row>
    <row r="73" spans="1:8" x14ac:dyDescent="0.2">
      <c r="B73" s="93"/>
      <c r="F73" s="94"/>
    </row>
    <row r="74" spans="1:8" ht="75" x14ac:dyDescent="0.2">
      <c r="B74" s="93"/>
      <c r="C74" s="220" t="s">
        <v>29</v>
      </c>
      <c r="D74" s="15" t="s">
        <v>20</v>
      </c>
      <c r="E74" s="236" t="s">
        <v>532</v>
      </c>
      <c r="F74" s="94"/>
    </row>
    <row r="75" spans="1:8" x14ac:dyDescent="0.2">
      <c r="B75" s="93"/>
      <c r="F75" s="94"/>
    </row>
    <row r="76" spans="1:8" ht="75" x14ac:dyDescent="0.2">
      <c r="B76" s="93"/>
      <c r="C76" s="219" t="s">
        <v>31</v>
      </c>
      <c r="D76" s="15" t="s">
        <v>20</v>
      </c>
      <c r="E76" s="237" t="s">
        <v>532</v>
      </c>
      <c r="F76" s="94"/>
    </row>
    <row r="77" spans="1:8" ht="15" thickBot="1" x14ac:dyDescent="0.25">
      <c r="B77" s="103"/>
      <c r="C77" s="40"/>
      <c r="D77" s="40"/>
      <c r="E77" s="118"/>
      <c r="F77" s="104"/>
    </row>
    <row r="78" spans="1:8" x14ac:dyDescent="0.2">
      <c r="E78" s="119"/>
    </row>
    <row r="79" spans="1:8" ht="16" customHeight="1" x14ac:dyDescent="0.2">
      <c r="B79" s="281" t="s">
        <v>36</v>
      </c>
      <c r="C79" s="281"/>
      <c r="D79" s="105"/>
      <c r="E79" s="298" t="s">
        <v>34</v>
      </c>
      <c r="F79" s="298"/>
      <c r="G79" s="298"/>
    </row>
    <row r="80" spans="1:8" x14ac:dyDescent="0.2">
      <c r="E80" s="119"/>
    </row>
    <row r="81" spans="2:6" ht="16" x14ac:dyDescent="0.2">
      <c r="B81" s="280" t="s">
        <v>37</v>
      </c>
      <c r="C81" s="281"/>
      <c r="D81" s="281"/>
      <c r="E81" s="281"/>
      <c r="F81" s="281"/>
    </row>
    <row r="82" spans="2:6" x14ac:dyDescent="0.2">
      <c r="E82" s="119"/>
    </row>
    <row r="83" spans="2:6" x14ac:dyDescent="0.2">
      <c r="E83" s="119"/>
    </row>
    <row r="84" spans="2:6" x14ac:dyDescent="0.2">
      <c r="E84" s="119"/>
    </row>
    <row r="85" spans="2:6" x14ac:dyDescent="0.2">
      <c r="E85" s="119"/>
    </row>
    <row r="86" spans="2:6" x14ac:dyDescent="0.2">
      <c r="E86" s="119"/>
    </row>
    <row r="87" spans="2:6" x14ac:dyDescent="0.2">
      <c r="E87" s="119"/>
    </row>
  </sheetData>
  <sheetProtection algorithmName="SHA-512" hashValue="5nIKzarvzi18lsgpfYfAe4q2qXtcznLcMVSlukL+V26yM7z7eCBAL3WD1Woc3y7e7Qne8DPgYINRKMyvEObBog==" saltValue="aKchCme6HyQSKnFKqCAjQw==" spinCount="100000" sheet="1" objects="1" scenarios="1"/>
  <mergeCells count="30">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 ref="B37:F37"/>
    <mergeCell ref="B39:F39"/>
    <mergeCell ref="C42:C46"/>
    <mergeCell ref="D42:D46"/>
    <mergeCell ref="E42:E46"/>
    <mergeCell ref="B81:F81"/>
    <mergeCell ref="B67:F67"/>
    <mergeCell ref="B48:F48"/>
    <mergeCell ref="B50:F53"/>
    <mergeCell ref="B55:F56"/>
    <mergeCell ref="B61:F63"/>
    <mergeCell ref="E79:G79"/>
    <mergeCell ref="E58:F58"/>
    <mergeCell ref="B60:D60"/>
    <mergeCell ref="E60:F60"/>
    <mergeCell ref="B79:C79"/>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8" ht="40" customHeight="1" x14ac:dyDescent="0.2">
      <c r="A1" s="88"/>
      <c r="B1" s="87" t="s">
        <v>38</v>
      </c>
      <c r="F1" s="22"/>
      <c r="G1" s="22"/>
    </row>
    <row r="2" spans="1:8" ht="21.75" customHeight="1" thickBot="1" x14ac:dyDescent="0.25"/>
    <row r="3" spans="1:8" ht="29.25" customHeight="1" x14ac:dyDescent="0.2">
      <c r="A3" s="22"/>
      <c r="B3" s="300" t="s">
        <v>39</v>
      </c>
      <c r="C3" s="301"/>
      <c r="D3" s="301"/>
      <c r="E3" s="302"/>
      <c r="F3" s="303"/>
      <c r="G3" s="22"/>
    </row>
    <row r="4" spans="1:8" ht="14" x14ac:dyDescent="0.2">
      <c r="B4" s="344" t="s">
        <v>538</v>
      </c>
      <c r="C4" s="283"/>
      <c r="D4" s="283"/>
      <c r="E4" s="283"/>
      <c r="F4" s="284"/>
    </row>
    <row r="5" spans="1:8" ht="11.25" customHeight="1" x14ac:dyDescent="0.2">
      <c r="B5" s="120"/>
      <c r="C5" s="37"/>
      <c r="D5" s="37"/>
      <c r="E5" s="37"/>
      <c r="F5" s="91"/>
    </row>
    <row r="6" spans="1:8" ht="14" x14ac:dyDescent="0.2">
      <c r="B6" s="344" t="s">
        <v>537</v>
      </c>
      <c r="C6" s="283"/>
      <c r="D6" s="283"/>
      <c r="E6" s="283"/>
      <c r="F6" s="284"/>
    </row>
    <row r="7" spans="1:8" ht="8.25" customHeight="1" x14ac:dyDescent="0.2">
      <c r="B7" s="93"/>
      <c r="F7" s="94"/>
    </row>
    <row r="8" spans="1:8" ht="15.75" customHeight="1" x14ac:dyDescent="0.2">
      <c r="B8" s="93"/>
      <c r="C8" s="95" t="s">
        <v>17</v>
      </c>
      <c r="E8" s="95" t="s">
        <v>18</v>
      </c>
      <c r="F8" s="94"/>
    </row>
    <row r="9" spans="1:8" ht="103.5" customHeight="1" x14ac:dyDescent="0.2">
      <c r="B9" s="93"/>
      <c r="C9" s="218"/>
      <c r="D9" s="12" t="s">
        <v>20</v>
      </c>
      <c r="E9" s="232"/>
      <c r="F9" s="94"/>
      <c r="H9" s="102" t="s">
        <v>41</v>
      </c>
    </row>
    <row r="10" spans="1:8" ht="15.75" customHeight="1" x14ac:dyDescent="0.2">
      <c r="B10" s="93"/>
      <c r="F10" s="94"/>
    </row>
    <row r="11" spans="1:8" ht="16" collapsed="1" thickBot="1" x14ac:dyDescent="0.25">
      <c r="B11" s="84" t="s">
        <v>42</v>
      </c>
      <c r="C11" s="332" t="s">
        <v>43</v>
      </c>
      <c r="D11" s="283"/>
      <c r="E11" s="283"/>
      <c r="F11" s="284"/>
    </row>
    <row r="12" spans="1:8" ht="15" hidden="1" outlineLevel="1" thickBot="1" x14ac:dyDescent="0.25">
      <c r="B12" s="333" t="s">
        <v>44</v>
      </c>
      <c r="C12" s="283"/>
      <c r="D12" s="283"/>
      <c r="E12" s="283"/>
      <c r="F12" s="284"/>
    </row>
    <row r="13" spans="1:8" ht="33.75" customHeight="1" thickBot="1" x14ac:dyDescent="0.25">
      <c r="B13" s="24"/>
      <c r="C13" s="24"/>
      <c r="D13" s="24"/>
      <c r="E13" s="24"/>
      <c r="F13" s="24"/>
    </row>
    <row r="14" spans="1:8" ht="29.25" customHeight="1" x14ac:dyDescent="0.2">
      <c r="B14" s="300" t="s">
        <v>40</v>
      </c>
      <c r="C14" s="301"/>
      <c r="D14" s="301"/>
      <c r="E14" s="302"/>
      <c r="F14" s="303"/>
    </row>
    <row r="15" spans="1:8" ht="14" customHeight="1" x14ac:dyDescent="0.2">
      <c r="B15" s="296" t="s">
        <v>539</v>
      </c>
      <c r="C15" s="288"/>
      <c r="D15" s="288"/>
      <c r="E15" s="288"/>
      <c r="F15" s="297"/>
    </row>
    <row r="16" spans="1:8" ht="14" customHeight="1" x14ac:dyDescent="0.2">
      <c r="B16" s="296"/>
      <c r="C16" s="288"/>
      <c r="D16" s="288"/>
      <c r="E16" s="288"/>
      <c r="F16" s="297"/>
    </row>
    <row r="17" spans="2:8" ht="8.25" customHeight="1" x14ac:dyDescent="0.2">
      <c r="B17" s="93"/>
      <c r="F17" s="94"/>
    </row>
    <row r="18" spans="2:8" ht="14" x14ac:dyDescent="0.2">
      <c r="B18" s="93"/>
      <c r="C18" s="95" t="s">
        <v>17</v>
      </c>
      <c r="E18" s="95" t="s">
        <v>18</v>
      </c>
      <c r="F18" s="94"/>
    </row>
    <row r="19" spans="2:8" ht="82.5" customHeight="1" x14ac:dyDescent="0.2">
      <c r="B19" s="93"/>
      <c r="C19" s="334" t="s">
        <v>605</v>
      </c>
      <c r="D19" s="336" t="s">
        <v>20</v>
      </c>
      <c r="E19" s="337" t="s">
        <v>606</v>
      </c>
      <c r="F19" s="94"/>
      <c r="H19" s="342"/>
    </row>
    <row r="20" spans="2:8" ht="82.5" customHeight="1" x14ac:dyDescent="0.2">
      <c r="B20" s="93"/>
      <c r="C20" s="335"/>
      <c r="D20" s="283"/>
      <c r="E20" s="338"/>
      <c r="F20" s="94"/>
      <c r="H20" s="343"/>
    </row>
    <row r="21" spans="2:8" ht="14" x14ac:dyDescent="0.2">
      <c r="B21" s="93"/>
      <c r="F21" s="94"/>
    </row>
    <row r="22" spans="2:8" ht="16" collapsed="1" thickBot="1" x14ac:dyDescent="0.25">
      <c r="B22" s="84" t="s">
        <v>42</v>
      </c>
      <c r="C22" s="332" t="s">
        <v>43</v>
      </c>
      <c r="D22" s="283"/>
      <c r="E22" s="283"/>
      <c r="F22" s="284"/>
    </row>
    <row r="23" spans="2:8" ht="15" hidden="1" outlineLevel="1" thickBot="1" x14ac:dyDescent="0.25">
      <c r="B23" s="339" t="s">
        <v>45</v>
      </c>
      <c r="C23" s="340"/>
      <c r="D23" s="340"/>
      <c r="E23" s="340"/>
      <c r="F23" s="341"/>
    </row>
    <row r="24" spans="2:8" ht="14" x14ac:dyDescent="0.2">
      <c r="B24" s="24"/>
      <c r="C24" s="24"/>
      <c r="D24" s="24"/>
      <c r="E24" s="24"/>
      <c r="F24" s="24"/>
    </row>
    <row r="25" spans="2:8" ht="16" x14ac:dyDescent="0.2">
      <c r="B25" s="281" t="s">
        <v>46</v>
      </c>
      <c r="C25" s="281"/>
      <c r="D25" s="105"/>
      <c r="E25" s="299" t="s">
        <v>47</v>
      </c>
      <c r="F25" s="281"/>
    </row>
    <row r="27" spans="2:8" ht="16" x14ac:dyDescent="0.2">
      <c r="B27" s="280" t="s">
        <v>37</v>
      </c>
      <c r="C27" s="281"/>
      <c r="D27" s="281"/>
      <c r="E27" s="281"/>
      <c r="F27" s="281"/>
    </row>
  </sheetData>
  <sheetProtection algorithmName="SHA-512" hashValue="CUPs2r4J6cdQg145iwOB1W/xMc9jjA9l//XcimR7hHOAbUySrNugiV4D5r772wf9fWsSzoaFy0c7NFjyvVEUkw==" saltValue="a/fk0n+47AsjTxl+5Mmvmw==" spinCount="100000" sheet="1" objects="1" scenarios="1"/>
  <mergeCells count="18">
    <mergeCell ref="H19:H20"/>
    <mergeCell ref="B3:D3"/>
    <mergeCell ref="E3:F3"/>
    <mergeCell ref="B4:F4"/>
    <mergeCell ref="B6:F6"/>
    <mergeCell ref="B27:F27"/>
    <mergeCell ref="C11:F11"/>
    <mergeCell ref="B12:F12"/>
    <mergeCell ref="B14:D14"/>
    <mergeCell ref="E14:F14"/>
    <mergeCell ref="C19:C20"/>
    <mergeCell ref="D19:D20"/>
    <mergeCell ref="E19:E20"/>
    <mergeCell ref="B15:F16"/>
    <mergeCell ref="C22:F22"/>
    <mergeCell ref="B23:F23"/>
    <mergeCell ref="B25:C25"/>
    <mergeCell ref="E25:F25"/>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87" t="s">
        <v>48</v>
      </c>
      <c r="F1" s="22"/>
      <c r="G1" s="22"/>
    </row>
    <row r="2" spans="1:7" ht="21.75" customHeight="1" thickBot="1" x14ac:dyDescent="0.25"/>
    <row r="3" spans="1:7" ht="29.25" customHeight="1" x14ac:dyDescent="0.2">
      <c r="A3" s="22"/>
      <c r="B3" s="300" t="s">
        <v>12</v>
      </c>
      <c r="C3" s="301"/>
      <c r="D3" s="301"/>
      <c r="E3" s="302"/>
      <c r="F3" s="303"/>
      <c r="G3" s="22"/>
    </row>
    <row r="4" spans="1:7" ht="14" x14ac:dyDescent="0.2">
      <c r="B4" s="347" t="s">
        <v>49</v>
      </c>
      <c r="C4" s="283"/>
      <c r="D4" s="283"/>
      <c r="E4" s="283"/>
      <c r="F4" s="284"/>
    </row>
    <row r="5" spans="1:7" ht="11.25" customHeight="1" x14ac:dyDescent="0.2">
      <c r="B5" s="122"/>
      <c r="C5" s="123"/>
      <c r="D5" s="123"/>
      <c r="E5" s="123"/>
      <c r="F5" s="124"/>
    </row>
    <row r="6" spans="1:7" ht="11.25" customHeight="1" x14ac:dyDescent="0.2">
      <c r="B6" s="296" t="s">
        <v>50</v>
      </c>
      <c r="C6" s="288"/>
      <c r="D6" s="288"/>
      <c r="E6" s="288"/>
      <c r="F6" s="297"/>
    </row>
    <row r="7" spans="1:7" ht="11.25" customHeight="1" x14ac:dyDescent="0.2">
      <c r="B7" s="296"/>
      <c r="C7" s="288"/>
      <c r="D7" s="288"/>
      <c r="E7" s="288"/>
      <c r="F7" s="297"/>
    </row>
    <row r="8" spans="1:7" ht="15" customHeight="1" thickBot="1" x14ac:dyDescent="0.25">
      <c r="B8" s="348"/>
      <c r="C8" s="349"/>
      <c r="D8" s="349"/>
      <c r="E8" s="349"/>
      <c r="F8" s="350"/>
    </row>
    <row r="9" spans="1:7" ht="33.75" customHeight="1" thickBot="1" x14ac:dyDescent="0.25"/>
    <row r="10" spans="1:7" ht="29.25" customHeight="1" x14ac:dyDescent="0.2">
      <c r="B10" s="300" t="s">
        <v>13</v>
      </c>
      <c r="C10" s="301"/>
      <c r="D10" s="301"/>
      <c r="E10" s="302"/>
      <c r="F10" s="303"/>
    </row>
    <row r="11" spans="1:7" ht="14" x14ac:dyDescent="0.2">
      <c r="B11" s="351" t="s">
        <v>51</v>
      </c>
      <c r="C11" s="283"/>
      <c r="D11" s="283"/>
      <c r="E11" s="283"/>
      <c r="F11" s="284"/>
    </row>
    <row r="12" spans="1:7" ht="8.25" customHeight="1" x14ac:dyDescent="0.2">
      <c r="B12" s="93"/>
      <c r="F12" s="94"/>
    </row>
    <row r="13" spans="1:7" ht="14" x14ac:dyDescent="0.2">
      <c r="B13" s="93"/>
      <c r="C13" s="95" t="s">
        <v>17</v>
      </c>
      <c r="E13" s="95" t="s">
        <v>18</v>
      </c>
      <c r="F13" s="94"/>
    </row>
    <row r="14" spans="1:7" ht="75" x14ac:dyDescent="0.2">
      <c r="B14" s="93"/>
      <c r="C14" s="117" t="s">
        <v>52</v>
      </c>
      <c r="D14" s="12" t="s">
        <v>20</v>
      </c>
      <c r="E14" s="96" t="s">
        <v>53</v>
      </c>
      <c r="F14" s="94"/>
    </row>
    <row r="15" spans="1:7" ht="22.5" customHeight="1" x14ac:dyDescent="0.2">
      <c r="B15" s="93"/>
      <c r="F15" s="94"/>
    </row>
    <row r="16" spans="1:7" ht="14" customHeight="1" x14ac:dyDescent="0.2">
      <c r="B16" s="296" t="s">
        <v>54</v>
      </c>
      <c r="C16" s="288"/>
      <c r="D16" s="288"/>
      <c r="E16" s="288"/>
      <c r="F16" s="297"/>
    </row>
    <row r="17" spans="1:7" ht="14" customHeight="1" x14ac:dyDescent="0.2">
      <c r="B17" s="296"/>
      <c r="C17" s="288"/>
      <c r="D17" s="288"/>
      <c r="E17" s="288"/>
      <c r="F17" s="297"/>
    </row>
    <row r="18" spans="1:7" ht="14" x14ac:dyDescent="0.2">
      <c r="B18" s="296"/>
      <c r="C18" s="288"/>
      <c r="D18" s="288"/>
      <c r="E18" s="288"/>
      <c r="F18" s="297"/>
    </row>
    <row r="19" spans="1:7" ht="8.25" customHeight="1" x14ac:dyDescent="0.2">
      <c r="B19" s="93"/>
      <c r="F19" s="94"/>
    </row>
    <row r="20" spans="1:7" ht="14" x14ac:dyDescent="0.2">
      <c r="B20" s="93"/>
      <c r="C20" s="95" t="s">
        <v>17</v>
      </c>
      <c r="E20" s="95" t="s">
        <v>18</v>
      </c>
      <c r="F20" s="94"/>
    </row>
    <row r="21" spans="1:7" ht="90" x14ac:dyDescent="0.2">
      <c r="A21" s="97"/>
      <c r="B21" s="98"/>
      <c r="C21" s="117" t="s">
        <v>55</v>
      </c>
      <c r="D21" s="15" t="s">
        <v>20</v>
      </c>
      <c r="E21" s="96" t="s">
        <v>56</v>
      </c>
      <c r="F21" s="100"/>
      <c r="G21" s="97"/>
    </row>
    <row r="22" spans="1:7" ht="22.5" customHeight="1" x14ac:dyDescent="0.2">
      <c r="B22" s="93"/>
      <c r="F22" s="94"/>
    </row>
    <row r="23" spans="1:7" ht="14" x14ac:dyDescent="0.2">
      <c r="B23" s="344" t="s">
        <v>57</v>
      </c>
      <c r="C23" s="283"/>
      <c r="D23" s="283"/>
      <c r="E23" s="283"/>
      <c r="F23" s="284"/>
    </row>
    <row r="24" spans="1:7" ht="8.25" customHeight="1" x14ac:dyDescent="0.2">
      <c r="B24" s="93"/>
      <c r="F24" s="94"/>
    </row>
    <row r="25" spans="1:7" ht="14" x14ac:dyDescent="0.2">
      <c r="B25" s="93"/>
      <c r="C25" s="95" t="s">
        <v>17</v>
      </c>
      <c r="E25" s="95" t="s">
        <v>18</v>
      </c>
      <c r="F25" s="94"/>
    </row>
    <row r="26" spans="1:7" ht="75" x14ac:dyDescent="0.2">
      <c r="B26" s="93"/>
      <c r="C26" s="101" t="s">
        <v>58</v>
      </c>
      <c r="D26" s="15" t="s">
        <v>20</v>
      </c>
      <c r="E26" s="101" t="s">
        <v>59</v>
      </c>
      <c r="F26" s="94"/>
    </row>
    <row r="27" spans="1:7" ht="22.5" customHeight="1" x14ac:dyDescent="0.2">
      <c r="B27" s="93"/>
      <c r="F27" s="94"/>
    </row>
    <row r="28" spans="1:7" ht="14" x14ac:dyDescent="0.2">
      <c r="B28" s="346" t="s">
        <v>60</v>
      </c>
      <c r="C28" s="283"/>
      <c r="D28" s="283"/>
      <c r="E28" s="283"/>
      <c r="F28" s="284"/>
    </row>
    <row r="29" spans="1:7" ht="8.25" customHeight="1" x14ac:dyDescent="0.2">
      <c r="B29" s="93"/>
      <c r="F29" s="94"/>
    </row>
    <row r="30" spans="1:7" ht="14" x14ac:dyDescent="0.2">
      <c r="B30" s="93"/>
      <c r="C30" s="95" t="s">
        <v>17</v>
      </c>
      <c r="E30" s="95" t="s">
        <v>18</v>
      </c>
      <c r="F30" s="94"/>
    </row>
    <row r="31" spans="1:7" ht="90" x14ac:dyDescent="0.2">
      <c r="B31" s="93"/>
      <c r="C31" s="117" t="s">
        <v>61</v>
      </c>
      <c r="D31" s="15" t="s">
        <v>20</v>
      </c>
      <c r="E31" s="96" t="s">
        <v>62</v>
      </c>
      <c r="F31" s="94"/>
    </row>
    <row r="32" spans="1:7" ht="11.25" customHeight="1" x14ac:dyDescent="0.2">
      <c r="B32" s="93"/>
      <c r="F32" s="94"/>
    </row>
    <row r="33" spans="2:6" ht="15" thickBot="1" x14ac:dyDescent="0.25">
      <c r="B33" s="345" t="s">
        <v>33</v>
      </c>
      <c r="C33" s="340"/>
      <c r="D33" s="340"/>
      <c r="E33" s="340"/>
      <c r="F33" s="341"/>
    </row>
    <row r="35" spans="2:6" ht="15.75" customHeight="1" x14ac:dyDescent="0.2">
      <c r="E35" s="299" t="s">
        <v>63</v>
      </c>
      <c r="F35" s="281"/>
    </row>
    <row r="36" spans="2:6" ht="33.75" customHeight="1" thickBot="1" x14ac:dyDescent="0.25"/>
    <row r="37" spans="2:6" ht="29.25" customHeight="1" x14ac:dyDescent="0.2">
      <c r="B37" s="300" t="s">
        <v>14</v>
      </c>
      <c r="C37" s="301"/>
      <c r="D37" s="301"/>
      <c r="E37" s="302"/>
      <c r="F37" s="303"/>
    </row>
    <row r="38" spans="2:6" ht="14" customHeight="1" x14ac:dyDescent="0.2">
      <c r="B38" s="296" t="s">
        <v>35</v>
      </c>
      <c r="C38" s="288"/>
      <c r="D38" s="288"/>
      <c r="E38" s="288"/>
      <c r="F38" s="297"/>
    </row>
    <row r="39" spans="2:6" ht="14" x14ac:dyDescent="0.2">
      <c r="B39" s="296"/>
      <c r="C39" s="288"/>
      <c r="D39" s="288"/>
      <c r="E39" s="288"/>
      <c r="F39" s="297"/>
    </row>
    <row r="40" spans="2:6" ht="14" x14ac:dyDescent="0.2">
      <c r="B40" s="296"/>
      <c r="C40" s="288"/>
      <c r="D40" s="288"/>
      <c r="E40" s="288"/>
      <c r="F40" s="297"/>
    </row>
    <row r="41" spans="2:6" ht="8.25" customHeight="1" x14ac:dyDescent="0.2">
      <c r="B41" s="93"/>
      <c r="F41" s="94"/>
    </row>
    <row r="42" spans="2:6" ht="14" x14ac:dyDescent="0.2">
      <c r="B42" s="93"/>
      <c r="C42" s="95" t="s">
        <v>17</v>
      </c>
      <c r="E42" s="95" t="s">
        <v>18</v>
      </c>
      <c r="F42" s="94"/>
    </row>
    <row r="43" spans="2:6" ht="75" x14ac:dyDescent="0.2">
      <c r="B43" s="93"/>
      <c r="C43" s="218" t="s">
        <v>52</v>
      </c>
      <c r="D43" s="12" t="s">
        <v>20</v>
      </c>
      <c r="E43" s="232" t="s">
        <v>541</v>
      </c>
      <c r="F43" s="94"/>
    </row>
    <row r="44" spans="2:6" ht="8.25" customHeight="1" x14ac:dyDescent="0.2">
      <c r="B44" s="282"/>
      <c r="C44" s="283"/>
      <c r="D44" s="283"/>
      <c r="E44" s="283"/>
      <c r="F44" s="284"/>
    </row>
    <row r="45" spans="2:6" ht="90" x14ac:dyDescent="0.2">
      <c r="B45" s="93"/>
      <c r="C45" s="218" t="s">
        <v>55</v>
      </c>
      <c r="D45" s="12" t="s">
        <v>20</v>
      </c>
      <c r="E45" s="232" t="s">
        <v>542</v>
      </c>
      <c r="F45" s="94"/>
    </row>
    <row r="46" spans="2:6" ht="8.25" customHeight="1" x14ac:dyDescent="0.2">
      <c r="B46" s="93"/>
      <c r="F46" s="94"/>
    </row>
    <row r="47" spans="2:6" ht="75" x14ac:dyDescent="0.2">
      <c r="B47" s="93"/>
      <c r="C47" s="220" t="s">
        <v>58</v>
      </c>
      <c r="D47" s="12" t="s">
        <v>20</v>
      </c>
      <c r="E47" s="236" t="s">
        <v>543</v>
      </c>
      <c r="F47" s="94"/>
    </row>
    <row r="48" spans="2:6" ht="8.25" customHeight="1" x14ac:dyDescent="0.2">
      <c r="B48" s="93"/>
      <c r="F48" s="94"/>
    </row>
    <row r="49" spans="1:7" ht="90" x14ac:dyDescent="0.2">
      <c r="A49" s="97"/>
      <c r="B49" s="98"/>
      <c r="C49" s="218" t="s">
        <v>61</v>
      </c>
      <c r="D49" s="15" t="s">
        <v>20</v>
      </c>
      <c r="E49" s="232" t="s">
        <v>544</v>
      </c>
      <c r="F49" s="100"/>
      <c r="G49" s="97"/>
    </row>
    <row r="50" spans="1:7" ht="15" thickBot="1" x14ac:dyDescent="0.25">
      <c r="B50" s="103"/>
      <c r="C50" s="40"/>
      <c r="D50" s="40"/>
      <c r="E50" s="40"/>
      <c r="F50" s="104"/>
    </row>
    <row r="52" spans="1:7" ht="16" x14ac:dyDescent="0.2">
      <c r="B52" s="281" t="s">
        <v>64</v>
      </c>
      <c r="C52" s="281"/>
      <c r="D52" s="281"/>
      <c r="E52" s="299" t="s">
        <v>63</v>
      </c>
      <c r="F52" s="281"/>
    </row>
    <row r="53" spans="1:7" ht="8.25" customHeight="1" x14ac:dyDescent="0.2"/>
    <row r="54" spans="1:7" ht="16" x14ac:dyDescent="0.2">
      <c r="B54" s="280" t="s">
        <v>37</v>
      </c>
      <c r="C54" s="281"/>
      <c r="D54" s="281"/>
      <c r="E54" s="281"/>
      <c r="F54" s="281"/>
    </row>
  </sheetData>
  <sheetProtection algorithmName="SHA-512" hashValue="wgkM/+MHdQCfYEROTESPU1cWQvBmG+TKiGN0or2S7OQy6ZyHMl8d1BSI+Jjn2ghzTcSjLtgdMcyOhdiuF4iULQ==" saltValue="1SbKxJqDfduMVqFhr/RSdw==" spinCount="100000" sheet="1" objects="1" scenarios="1"/>
  <mergeCells count="19">
    <mergeCell ref="B28:F28"/>
    <mergeCell ref="B3:D3"/>
    <mergeCell ref="E3:F3"/>
    <mergeCell ref="B4:F4"/>
    <mergeCell ref="B6:F8"/>
    <mergeCell ref="B16:F18"/>
    <mergeCell ref="B10:D10"/>
    <mergeCell ref="E10:F10"/>
    <mergeCell ref="B11:F11"/>
    <mergeCell ref="B23:F23"/>
    <mergeCell ref="B52:D52"/>
    <mergeCell ref="E52:F52"/>
    <mergeCell ref="B54:F54"/>
    <mergeCell ref="B33:F33"/>
    <mergeCell ref="E35:F35"/>
    <mergeCell ref="B37:D37"/>
    <mergeCell ref="E37:F37"/>
    <mergeCell ref="B44:F44"/>
    <mergeCell ref="B38:F40"/>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52" t="s">
        <v>65</v>
      </c>
      <c r="C1" s="283"/>
      <c r="D1" s="283"/>
      <c r="E1" s="283"/>
      <c r="F1" s="22"/>
      <c r="G1" s="22"/>
    </row>
    <row r="2" spans="1:7" ht="21.75" customHeight="1" thickBot="1" x14ac:dyDescent="0.25"/>
    <row r="3" spans="1:7" ht="29.25" customHeight="1" x14ac:dyDescent="0.2">
      <c r="A3" s="22"/>
      <c r="B3" s="300" t="s">
        <v>66</v>
      </c>
      <c r="C3" s="301"/>
      <c r="D3" s="301"/>
      <c r="E3" s="302"/>
      <c r="F3" s="303"/>
      <c r="G3" s="22"/>
    </row>
    <row r="4" spans="1:7" ht="14" x14ac:dyDescent="0.2">
      <c r="B4" s="351" t="s">
        <v>69</v>
      </c>
      <c r="C4" s="283"/>
      <c r="D4" s="283"/>
      <c r="E4" s="283"/>
      <c r="F4" s="284"/>
    </row>
    <row r="5" spans="1:7" ht="8.25" customHeight="1" x14ac:dyDescent="0.2">
      <c r="B5" s="93"/>
      <c r="F5" s="94"/>
    </row>
    <row r="6" spans="1:7" ht="15.75" customHeight="1" x14ac:dyDescent="0.2">
      <c r="B6" s="93"/>
      <c r="C6" s="95" t="s">
        <v>17</v>
      </c>
      <c r="E6" s="95" t="s">
        <v>18</v>
      </c>
      <c r="F6" s="94"/>
    </row>
    <row r="7" spans="1:7" ht="75" x14ac:dyDescent="0.2">
      <c r="B7" s="93"/>
      <c r="C7" s="218" t="s">
        <v>607</v>
      </c>
      <c r="D7" s="12" t="s">
        <v>20</v>
      </c>
      <c r="E7" s="239" t="s">
        <v>529</v>
      </c>
      <c r="F7" s="94"/>
    </row>
    <row r="8" spans="1:7" ht="15.75" customHeight="1" x14ac:dyDescent="0.2">
      <c r="B8" s="93"/>
      <c r="F8" s="94"/>
    </row>
    <row r="9" spans="1:7" ht="16" collapsed="1" thickBot="1" x14ac:dyDescent="0.25">
      <c r="B9" s="84" t="s">
        <v>42</v>
      </c>
      <c r="C9" s="332" t="s">
        <v>43</v>
      </c>
      <c r="D9" s="283"/>
      <c r="E9" s="283"/>
      <c r="F9" s="284"/>
    </row>
    <row r="10" spans="1:7" ht="15" hidden="1" outlineLevel="1" thickBot="1" x14ac:dyDescent="0.25">
      <c r="B10" s="333" t="s">
        <v>70</v>
      </c>
      <c r="C10" s="283"/>
      <c r="D10" s="283"/>
      <c r="E10" s="283"/>
      <c r="F10" s="284"/>
    </row>
    <row r="11" spans="1:7" ht="33.75" customHeight="1" thickBot="1" x14ac:dyDescent="0.25">
      <c r="B11" s="24"/>
      <c r="C11" s="24"/>
      <c r="D11" s="24"/>
      <c r="E11" s="24"/>
      <c r="F11" s="24"/>
    </row>
    <row r="12" spans="1:7" ht="29.25" customHeight="1" x14ac:dyDescent="0.2">
      <c r="A12" s="22"/>
      <c r="B12" s="300" t="s">
        <v>67</v>
      </c>
      <c r="C12" s="301"/>
      <c r="D12" s="301"/>
      <c r="E12" s="302"/>
      <c r="F12" s="303"/>
      <c r="G12" s="22"/>
    </row>
    <row r="13" spans="1:7" ht="14" x14ac:dyDescent="0.2">
      <c r="B13" s="351" t="s">
        <v>71</v>
      </c>
      <c r="C13" s="283"/>
      <c r="D13" s="283"/>
      <c r="E13" s="283"/>
      <c r="F13" s="284"/>
    </row>
    <row r="14" spans="1:7" ht="8.25" customHeight="1" x14ac:dyDescent="0.2">
      <c r="B14" s="93"/>
      <c r="F14" s="94"/>
    </row>
    <row r="15" spans="1:7" ht="15.75" customHeight="1" x14ac:dyDescent="0.2">
      <c r="B15" s="93"/>
      <c r="C15" s="95" t="s">
        <v>17</v>
      </c>
      <c r="E15" s="95" t="s">
        <v>18</v>
      </c>
      <c r="F15" s="94"/>
    </row>
    <row r="16" spans="1:7" ht="90" x14ac:dyDescent="0.2">
      <c r="B16" s="93"/>
      <c r="C16" s="218" t="s">
        <v>61</v>
      </c>
      <c r="D16" s="12" t="s">
        <v>20</v>
      </c>
      <c r="E16" s="239" t="s">
        <v>544</v>
      </c>
      <c r="F16" s="94"/>
    </row>
    <row r="17" spans="1:7" ht="15.75" customHeight="1" x14ac:dyDescent="0.2">
      <c r="B17" s="93"/>
      <c r="F17" s="94"/>
    </row>
    <row r="18" spans="1:7" ht="16" collapsed="1" thickBot="1" x14ac:dyDescent="0.25">
      <c r="B18" s="84" t="s">
        <v>42</v>
      </c>
      <c r="C18" s="332" t="s">
        <v>43</v>
      </c>
      <c r="D18" s="283"/>
      <c r="E18" s="283"/>
      <c r="F18" s="284"/>
    </row>
    <row r="19" spans="1:7" ht="15" hidden="1" outlineLevel="1" thickBot="1" x14ac:dyDescent="0.25">
      <c r="B19" s="333" t="s">
        <v>72</v>
      </c>
      <c r="C19" s="283"/>
      <c r="D19" s="283"/>
      <c r="E19" s="283"/>
      <c r="F19" s="284"/>
    </row>
    <row r="20" spans="1:7" ht="29.25" customHeight="1" thickBot="1" x14ac:dyDescent="0.25">
      <c r="B20" s="125"/>
      <c r="C20" s="125"/>
      <c r="D20" s="125"/>
      <c r="E20" s="126"/>
      <c r="F20" s="126"/>
    </row>
    <row r="21" spans="1:7" ht="29.25" customHeight="1" x14ac:dyDescent="0.2">
      <c r="A21" s="22"/>
      <c r="B21" s="300" t="s">
        <v>68</v>
      </c>
      <c r="C21" s="301"/>
      <c r="D21" s="301"/>
      <c r="E21" s="302"/>
      <c r="F21" s="303"/>
      <c r="G21" s="22"/>
    </row>
    <row r="22" spans="1:7" ht="14" x14ac:dyDescent="0.2">
      <c r="B22" s="351" t="s">
        <v>73</v>
      </c>
      <c r="C22" s="283"/>
      <c r="D22" s="283"/>
      <c r="E22" s="283"/>
      <c r="F22" s="284"/>
    </row>
    <row r="23" spans="1:7" ht="8.25" customHeight="1" x14ac:dyDescent="0.2">
      <c r="B23" s="93"/>
      <c r="F23" s="94"/>
    </row>
    <row r="24" spans="1:7" ht="15.75" customHeight="1" x14ac:dyDescent="0.2">
      <c r="B24" s="93"/>
      <c r="C24" s="95" t="s">
        <v>17</v>
      </c>
      <c r="E24" s="95" t="s">
        <v>18</v>
      </c>
      <c r="F24" s="94"/>
    </row>
    <row r="25" spans="1:7" ht="328" x14ac:dyDescent="0.2">
      <c r="B25" s="93"/>
      <c r="C25" s="222" t="s">
        <v>608</v>
      </c>
      <c r="D25" s="12" t="s">
        <v>20</v>
      </c>
      <c r="E25" s="238" t="s">
        <v>609</v>
      </c>
      <c r="F25" s="94"/>
    </row>
    <row r="26" spans="1:7" ht="15.75" customHeight="1" x14ac:dyDescent="0.2">
      <c r="B26" s="93"/>
      <c r="F26" s="94"/>
    </row>
    <row r="27" spans="1:7" ht="16" collapsed="1" thickBot="1" x14ac:dyDescent="0.25">
      <c r="B27" s="84" t="s">
        <v>42</v>
      </c>
      <c r="C27" s="332" t="s">
        <v>43</v>
      </c>
      <c r="D27" s="283"/>
      <c r="E27" s="283"/>
      <c r="F27" s="284"/>
    </row>
    <row r="28" spans="1:7" ht="15" hidden="1" outlineLevel="1" thickBot="1" x14ac:dyDescent="0.25">
      <c r="B28" s="333" t="s">
        <v>74</v>
      </c>
      <c r="C28" s="283"/>
      <c r="D28" s="283"/>
      <c r="E28" s="283"/>
      <c r="F28" s="284"/>
    </row>
    <row r="29" spans="1:7" ht="14" x14ac:dyDescent="0.2">
      <c r="B29" s="24"/>
      <c r="C29" s="24"/>
      <c r="D29" s="24"/>
      <c r="E29" s="24"/>
      <c r="F29" s="24"/>
    </row>
    <row r="30" spans="1:7" ht="16" x14ac:dyDescent="0.2">
      <c r="B30" s="281" t="s">
        <v>75</v>
      </c>
      <c r="C30" s="281"/>
      <c r="D30" s="281"/>
      <c r="E30" s="299" t="s">
        <v>76</v>
      </c>
      <c r="F30" s="281"/>
    </row>
    <row r="31" spans="1:7" ht="8.25" customHeight="1" x14ac:dyDescent="0.2"/>
    <row r="32" spans="1:7" ht="16" x14ac:dyDescent="0.2">
      <c r="B32" s="280" t="s">
        <v>37</v>
      </c>
      <c r="C32" s="281"/>
      <c r="D32" s="281"/>
      <c r="E32" s="281"/>
      <c r="F32" s="281"/>
    </row>
  </sheetData>
  <sheetProtection algorithmName="SHA-512" hashValue="s8i0Tr+ZyKRRCA7ArujLxYcI5BxKx+oIIZ0YQGbmwe8JuEVpxdUQFGu/PCsSykrWGXCosUSJcaWbgBWNIJ9hWQ==" saltValue="XMLJ3gQMvWboLFjDi+8ymw==" spinCount="100000" sheet="1" objects="1" scenarios="1"/>
  <mergeCells count="19">
    <mergeCell ref="B19:F19"/>
    <mergeCell ref="B1:E1"/>
    <mergeCell ref="B3:D3"/>
    <mergeCell ref="E3:F3"/>
    <mergeCell ref="B4:F4"/>
    <mergeCell ref="C9:F9"/>
    <mergeCell ref="B10:F10"/>
    <mergeCell ref="B12:D12"/>
    <mergeCell ref="E12:F12"/>
    <mergeCell ref="B13:F13"/>
    <mergeCell ref="C18:F18"/>
    <mergeCell ref="B32:F32"/>
    <mergeCell ref="B21:D21"/>
    <mergeCell ref="E21:F21"/>
    <mergeCell ref="B22:F22"/>
    <mergeCell ref="C27:F27"/>
    <mergeCell ref="B28:F28"/>
    <mergeCell ref="B30:D30"/>
    <mergeCell ref="E30:F30"/>
  </mergeCells>
  <conditionalFormatting sqref="E7">
    <cfRule type="containsText" dxfId="25" priority="1" operator="containsText" text="hola">
      <formula>NOT(ISERROR(SEARCH(("hola"),(E7))))</formula>
    </cfRule>
  </conditionalFormatting>
  <conditionalFormatting sqref="E16">
    <cfRule type="cellIs" dxfId="24" priority="3" operator="equal">
      <formula>"Michael Jordan"</formula>
    </cfRule>
  </conditionalFormatting>
  <conditionalFormatting sqref="E25">
    <cfRule type="expression" dxfId="23"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52" t="s">
        <v>77</v>
      </c>
      <c r="C1" s="283"/>
      <c r="D1" s="283"/>
      <c r="E1" s="283"/>
      <c r="F1" s="22"/>
      <c r="G1" s="22"/>
    </row>
    <row r="2" spans="1:7" ht="21.75" customHeight="1" thickBot="1" x14ac:dyDescent="0.25"/>
    <row r="3" spans="1:7" ht="29.25" customHeight="1" x14ac:dyDescent="0.2">
      <c r="A3" s="22"/>
      <c r="B3" s="314" t="s">
        <v>12</v>
      </c>
      <c r="C3" s="315"/>
      <c r="D3" s="315"/>
      <c r="E3" s="316"/>
      <c r="F3" s="317"/>
      <c r="G3" s="22"/>
    </row>
    <row r="4" spans="1:7" ht="15" customHeight="1" x14ac:dyDescent="0.2">
      <c r="B4" s="353" t="s">
        <v>550</v>
      </c>
      <c r="C4" s="354"/>
      <c r="D4" s="354"/>
      <c r="E4" s="354"/>
      <c r="F4" s="355"/>
    </row>
    <row r="5" spans="1:7" ht="15" customHeight="1" x14ac:dyDescent="0.2">
      <c r="B5" s="353"/>
      <c r="C5" s="354"/>
      <c r="D5" s="354"/>
      <c r="E5" s="354"/>
      <c r="F5" s="355"/>
    </row>
    <row r="6" spans="1:7" ht="15" customHeight="1" x14ac:dyDescent="0.2">
      <c r="B6" s="353"/>
      <c r="C6" s="354"/>
      <c r="D6" s="354"/>
      <c r="E6" s="354"/>
      <c r="F6" s="355"/>
    </row>
    <row r="7" spans="1:7" ht="15" customHeight="1" x14ac:dyDescent="0.2">
      <c r="B7" s="353"/>
      <c r="C7" s="354"/>
      <c r="D7" s="354"/>
      <c r="E7" s="354"/>
      <c r="F7" s="355"/>
    </row>
    <row r="8" spans="1:7" ht="15" customHeight="1" thickBot="1" x14ac:dyDescent="0.25">
      <c r="B8" s="356"/>
      <c r="C8" s="357"/>
      <c r="D8" s="357"/>
      <c r="E8" s="357"/>
      <c r="F8" s="358"/>
    </row>
    <row r="9" spans="1:7" ht="33.75" customHeight="1" thickBot="1" x14ac:dyDescent="0.25"/>
    <row r="10" spans="1:7" ht="29.25" customHeight="1" x14ac:dyDescent="0.2">
      <c r="B10" s="300" t="s">
        <v>13</v>
      </c>
      <c r="C10" s="301"/>
      <c r="D10" s="301"/>
      <c r="E10" s="302"/>
      <c r="F10" s="303"/>
    </row>
    <row r="11" spans="1:7" ht="14" customHeight="1" x14ac:dyDescent="0.2">
      <c r="B11" s="296" t="s">
        <v>551</v>
      </c>
      <c r="C11" s="288"/>
      <c r="D11" s="288"/>
      <c r="E11" s="288"/>
      <c r="F11" s="297"/>
    </row>
    <row r="12" spans="1:7" ht="14" x14ac:dyDescent="0.2">
      <c r="B12" s="296"/>
      <c r="C12" s="288"/>
      <c r="D12" s="288"/>
      <c r="E12" s="288"/>
      <c r="F12" s="297"/>
    </row>
    <row r="13" spans="1:7" ht="14" x14ac:dyDescent="0.2">
      <c r="B13" s="296"/>
      <c r="C13" s="288"/>
      <c r="D13" s="288"/>
      <c r="E13" s="288"/>
      <c r="F13" s="297"/>
    </row>
    <row r="14" spans="1:7" ht="14" x14ac:dyDescent="0.2">
      <c r="B14" s="296"/>
      <c r="C14" s="288"/>
      <c r="D14" s="288"/>
      <c r="E14" s="288"/>
      <c r="F14" s="297"/>
    </row>
    <row r="15" spans="1:7" ht="14" x14ac:dyDescent="0.2">
      <c r="B15" s="296"/>
      <c r="C15" s="288"/>
      <c r="D15" s="288"/>
      <c r="E15" s="288"/>
      <c r="F15" s="297"/>
    </row>
    <row r="16" spans="1:7" ht="14" x14ac:dyDescent="0.2">
      <c r="B16" s="296"/>
      <c r="C16" s="288"/>
      <c r="D16" s="288"/>
      <c r="E16" s="288"/>
      <c r="F16" s="297"/>
    </row>
    <row r="17" spans="1:7" ht="14" x14ac:dyDescent="0.2">
      <c r="B17" s="296"/>
      <c r="C17" s="288"/>
      <c r="D17" s="288"/>
      <c r="E17" s="288"/>
      <c r="F17" s="297"/>
    </row>
    <row r="18" spans="1:7" ht="14" x14ac:dyDescent="0.2">
      <c r="B18" s="296"/>
      <c r="C18" s="288"/>
      <c r="D18" s="288"/>
      <c r="E18" s="288"/>
      <c r="F18" s="297"/>
    </row>
    <row r="19" spans="1:7" ht="8.25" customHeight="1" x14ac:dyDescent="0.2">
      <c r="B19" s="93"/>
      <c r="F19" s="94"/>
    </row>
    <row r="20" spans="1:7" ht="14" x14ac:dyDescent="0.2">
      <c r="B20" s="93"/>
      <c r="C20" s="95" t="s">
        <v>78</v>
      </c>
      <c r="E20" s="95" t="s">
        <v>18</v>
      </c>
      <c r="F20" s="94"/>
    </row>
    <row r="21" spans="1:7" ht="314" x14ac:dyDescent="0.2">
      <c r="B21" s="93"/>
      <c r="C21" s="99" t="s">
        <v>79</v>
      </c>
      <c r="D21" s="12" t="s">
        <v>20</v>
      </c>
      <c r="E21" s="99" t="s">
        <v>80</v>
      </c>
      <c r="F21" s="94"/>
    </row>
    <row r="22" spans="1:7" ht="8.25" customHeight="1" x14ac:dyDescent="0.2">
      <c r="B22" s="93"/>
      <c r="F22" s="94"/>
    </row>
    <row r="23" spans="1:7" ht="14" x14ac:dyDescent="0.2">
      <c r="B23" s="93"/>
      <c r="C23" s="95" t="s">
        <v>81</v>
      </c>
      <c r="E23" s="95" t="s">
        <v>18</v>
      </c>
      <c r="F23" s="94"/>
    </row>
    <row r="24" spans="1:7" ht="314" x14ac:dyDescent="0.2">
      <c r="A24" s="97"/>
      <c r="B24" s="98"/>
      <c r="C24" s="136" t="s">
        <v>82</v>
      </c>
      <c r="D24" s="15" t="s">
        <v>20</v>
      </c>
      <c r="E24" s="121" t="s">
        <v>83</v>
      </c>
      <c r="F24" s="100"/>
      <c r="G24" s="97"/>
    </row>
    <row r="25" spans="1:7" ht="22.5" customHeight="1" x14ac:dyDescent="0.2">
      <c r="B25" s="93"/>
      <c r="F25" s="94"/>
    </row>
    <row r="26" spans="1:7" ht="14" customHeight="1" x14ac:dyDescent="0.2">
      <c r="B26" s="296" t="s">
        <v>552</v>
      </c>
      <c r="C26" s="288"/>
      <c r="D26" s="288"/>
      <c r="E26" s="288"/>
      <c r="F26" s="297"/>
    </row>
    <row r="27" spans="1:7" ht="14" x14ac:dyDescent="0.2">
      <c r="B27" s="296"/>
      <c r="C27" s="288"/>
      <c r="D27" s="288"/>
      <c r="E27" s="288"/>
      <c r="F27" s="297"/>
    </row>
    <row r="28" spans="1:7" ht="14" x14ac:dyDescent="0.2">
      <c r="B28" s="296"/>
      <c r="C28" s="288"/>
      <c r="D28" s="288"/>
      <c r="E28" s="288"/>
      <c r="F28" s="297"/>
    </row>
    <row r="29" spans="1:7" ht="14" x14ac:dyDescent="0.2">
      <c r="B29" s="296"/>
      <c r="C29" s="288"/>
      <c r="D29" s="288"/>
      <c r="E29" s="288"/>
      <c r="F29" s="297"/>
    </row>
    <row r="30" spans="1:7" ht="14" x14ac:dyDescent="0.2">
      <c r="B30" s="296"/>
      <c r="C30" s="288"/>
      <c r="D30" s="288"/>
      <c r="E30" s="288"/>
      <c r="F30" s="297"/>
    </row>
    <row r="31" spans="1:7" ht="8.25" customHeight="1" x14ac:dyDescent="0.2">
      <c r="B31" s="93"/>
      <c r="F31" s="94"/>
    </row>
    <row r="32" spans="1:7" ht="14" x14ac:dyDescent="0.2">
      <c r="B32" s="93"/>
      <c r="C32" s="95" t="s">
        <v>78</v>
      </c>
      <c r="E32" s="95" t="s">
        <v>18</v>
      </c>
      <c r="F32" s="94"/>
    </row>
    <row r="33" spans="2:6" ht="210" x14ac:dyDescent="0.2">
      <c r="B33" s="93"/>
      <c r="C33" s="99" t="s">
        <v>84</v>
      </c>
      <c r="D33" s="15" t="s">
        <v>20</v>
      </c>
      <c r="E33" s="99" t="s">
        <v>85</v>
      </c>
      <c r="F33" s="94"/>
    </row>
    <row r="34" spans="2:6" ht="22.5" customHeight="1" x14ac:dyDescent="0.2">
      <c r="B34" s="93"/>
      <c r="F34" s="94"/>
    </row>
    <row r="35" spans="2:6" ht="14" customHeight="1" x14ac:dyDescent="0.2">
      <c r="B35" s="296" t="s">
        <v>553</v>
      </c>
      <c r="C35" s="288"/>
      <c r="D35" s="288"/>
      <c r="E35" s="288"/>
      <c r="F35" s="297"/>
    </row>
    <row r="36" spans="2:6" ht="14" x14ac:dyDescent="0.2">
      <c r="B36" s="296"/>
      <c r="C36" s="288"/>
      <c r="D36" s="288"/>
      <c r="E36" s="288"/>
      <c r="F36" s="297"/>
    </row>
    <row r="37" spans="2:6" ht="14" x14ac:dyDescent="0.2">
      <c r="B37" s="296"/>
      <c r="C37" s="288"/>
      <c r="D37" s="288"/>
      <c r="E37" s="288"/>
      <c r="F37" s="297"/>
    </row>
    <row r="38" spans="2:6" ht="8.25" customHeight="1" x14ac:dyDescent="0.2">
      <c r="B38" s="93"/>
      <c r="F38" s="94"/>
    </row>
    <row r="39" spans="2:6" ht="14" x14ac:dyDescent="0.2">
      <c r="B39" s="93"/>
      <c r="C39" s="95" t="s">
        <v>81</v>
      </c>
      <c r="E39" s="95" t="s">
        <v>18</v>
      </c>
      <c r="F39" s="94"/>
    </row>
    <row r="40" spans="2:6" ht="270" x14ac:dyDescent="0.2">
      <c r="B40" s="93"/>
      <c r="C40" s="136" t="s">
        <v>86</v>
      </c>
      <c r="D40" s="15" t="s">
        <v>20</v>
      </c>
      <c r="E40" s="121" t="s">
        <v>87</v>
      </c>
      <c r="F40" s="94"/>
    </row>
    <row r="41" spans="2:6" ht="14" x14ac:dyDescent="0.2">
      <c r="B41" s="93"/>
      <c r="F41" s="94"/>
    </row>
    <row r="42" spans="2:6" ht="14" customHeight="1" x14ac:dyDescent="0.2">
      <c r="B42" s="296" t="s">
        <v>88</v>
      </c>
      <c r="C42" s="288"/>
      <c r="D42" s="288"/>
      <c r="E42" s="288"/>
      <c r="F42" s="297"/>
    </row>
    <row r="43" spans="2:6" ht="14" x14ac:dyDescent="0.2">
      <c r="B43" s="296"/>
      <c r="C43" s="288"/>
      <c r="D43" s="288"/>
      <c r="E43" s="288"/>
      <c r="F43" s="297"/>
    </row>
    <row r="44" spans="2:6" ht="11.25" customHeight="1" x14ac:dyDescent="0.2">
      <c r="B44" s="93"/>
      <c r="F44" s="94"/>
    </row>
    <row r="45" spans="2:6" ht="15" thickBot="1" x14ac:dyDescent="0.25">
      <c r="B45" s="345" t="s">
        <v>33</v>
      </c>
      <c r="C45" s="340"/>
      <c r="D45" s="340"/>
      <c r="E45" s="340"/>
      <c r="F45" s="341"/>
    </row>
    <row r="47" spans="2:6" ht="15.75" customHeight="1" x14ac:dyDescent="0.2">
      <c r="E47" s="299" t="s">
        <v>89</v>
      </c>
      <c r="F47" s="281"/>
    </row>
    <row r="48" spans="2:6" ht="33.75" customHeight="1" thickBot="1" x14ac:dyDescent="0.25"/>
    <row r="49" spans="1:7" ht="29.25" customHeight="1" x14ac:dyDescent="0.2">
      <c r="B49" s="300" t="s">
        <v>14</v>
      </c>
      <c r="C49" s="301"/>
      <c r="D49" s="301"/>
      <c r="E49" s="302"/>
      <c r="F49" s="303"/>
    </row>
    <row r="50" spans="1:7" ht="14" customHeight="1" x14ac:dyDescent="0.2">
      <c r="B50" s="296" t="s">
        <v>528</v>
      </c>
      <c r="C50" s="288"/>
      <c r="D50" s="288"/>
      <c r="E50" s="288"/>
      <c r="F50" s="297"/>
    </row>
    <row r="51" spans="1:7" ht="14" x14ac:dyDescent="0.2">
      <c r="B51" s="296"/>
      <c r="C51" s="288"/>
      <c r="D51" s="288"/>
      <c r="E51" s="288"/>
      <c r="F51" s="297"/>
    </row>
    <row r="52" spans="1:7" ht="14" x14ac:dyDescent="0.2">
      <c r="B52" s="296"/>
      <c r="C52" s="288"/>
      <c r="D52" s="288"/>
      <c r="E52" s="288"/>
      <c r="F52" s="297"/>
    </row>
    <row r="53" spans="1:7" ht="8.25" customHeight="1" x14ac:dyDescent="0.2">
      <c r="B53" s="93"/>
      <c r="F53" s="94"/>
    </row>
    <row r="54" spans="1:7" ht="14" x14ac:dyDescent="0.2">
      <c r="B54" s="93"/>
      <c r="C54" s="95" t="s">
        <v>78</v>
      </c>
      <c r="E54" s="95" t="s">
        <v>18</v>
      </c>
      <c r="F54" s="94"/>
    </row>
    <row r="55" spans="1:7" ht="285" x14ac:dyDescent="0.2">
      <c r="B55" s="93"/>
      <c r="C55" s="219" t="s">
        <v>90</v>
      </c>
      <c r="D55" s="12" t="s">
        <v>20</v>
      </c>
      <c r="E55" s="237" t="s">
        <v>91</v>
      </c>
      <c r="F55" s="94"/>
    </row>
    <row r="56" spans="1:7" ht="8.25" customHeight="1" x14ac:dyDescent="0.2">
      <c r="B56" s="282"/>
      <c r="C56" s="283"/>
      <c r="D56" s="283"/>
      <c r="E56" s="283"/>
      <c r="F56" s="284"/>
    </row>
    <row r="57" spans="1:7" ht="14" x14ac:dyDescent="0.2">
      <c r="B57" s="93"/>
      <c r="C57" s="95" t="s">
        <v>81</v>
      </c>
      <c r="E57" s="95" t="s">
        <v>18</v>
      </c>
      <c r="F57" s="94"/>
    </row>
    <row r="58" spans="1:7" ht="314" x14ac:dyDescent="0.2">
      <c r="A58" s="97"/>
      <c r="B58" s="98"/>
      <c r="C58" s="222" t="s">
        <v>82</v>
      </c>
      <c r="D58" s="15" t="s">
        <v>20</v>
      </c>
      <c r="E58" s="233" t="s">
        <v>83</v>
      </c>
      <c r="F58" s="100"/>
      <c r="G58" s="97"/>
    </row>
    <row r="59" spans="1:7" ht="8.25" customHeight="1" x14ac:dyDescent="0.2">
      <c r="B59" s="93"/>
      <c r="F59" s="94"/>
    </row>
    <row r="60" spans="1:7" ht="14" x14ac:dyDescent="0.2">
      <c r="B60" s="93"/>
      <c r="C60" s="95" t="s">
        <v>78</v>
      </c>
      <c r="E60" s="95" t="s">
        <v>18</v>
      </c>
      <c r="F60" s="94"/>
    </row>
    <row r="61" spans="1:7" ht="210" x14ac:dyDescent="0.2">
      <c r="B61" s="93"/>
      <c r="C61" s="219" t="s">
        <v>84</v>
      </c>
      <c r="D61" s="15" t="s">
        <v>20</v>
      </c>
      <c r="E61" s="237" t="s">
        <v>85</v>
      </c>
      <c r="F61" s="94"/>
    </row>
    <row r="62" spans="1:7" ht="8.25" customHeight="1" x14ac:dyDescent="0.2">
      <c r="B62" s="93"/>
      <c r="F62" s="94"/>
    </row>
    <row r="63" spans="1:7" ht="14" x14ac:dyDescent="0.2">
      <c r="B63" s="93"/>
      <c r="C63" s="95" t="s">
        <v>81</v>
      </c>
      <c r="E63" s="95" t="s">
        <v>18</v>
      </c>
      <c r="F63" s="94"/>
    </row>
    <row r="64" spans="1:7" ht="210" x14ac:dyDescent="0.2">
      <c r="B64" s="93"/>
      <c r="C64" s="222" t="s">
        <v>554</v>
      </c>
      <c r="D64" s="15" t="s">
        <v>20</v>
      </c>
      <c r="E64" s="233" t="s">
        <v>555</v>
      </c>
      <c r="F64" s="94"/>
    </row>
    <row r="65" spans="2:6" ht="15" thickBot="1" x14ac:dyDescent="0.25">
      <c r="B65" s="103"/>
      <c r="C65" s="40"/>
      <c r="D65" s="40"/>
      <c r="E65" s="40"/>
      <c r="F65" s="104"/>
    </row>
    <row r="67" spans="2:6" ht="16" x14ac:dyDescent="0.2">
      <c r="B67" s="281" t="s">
        <v>92</v>
      </c>
      <c r="C67" s="281"/>
      <c r="D67" s="281"/>
      <c r="E67" s="299" t="s">
        <v>89</v>
      </c>
      <c r="F67" s="281"/>
    </row>
    <row r="68" spans="2:6" ht="8.25" customHeight="1" x14ac:dyDescent="0.2"/>
    <row r="69" spans="2:6" ht="16" x14ac:dyDescent="0.2">
      <c r="B69" s="280" t="s">
        <v>37</v>
      </c>
      <c r="C69" s="281"/>
      <c r="D69" s="281"/>
      <c r="E69" s="281"/>
      <c r="F69" s="281"/>
    </row>
  </sheetData>
  <sheetProtection algorithmName="SHA-512" hashValue="b/VHJzXwDePXahpVVobV1nf8tk5WYWjKA5ZVuhNaIe7FeVDjaSGYztyGq1J5wuVLjNejXJSIo5buVCL/dbXF5w==" saltValue="5lMqOSuQnqS3il3Z+QpsMg==" spinCount="100000" sheet="1" objects="1" scenarios="1"/>
  <mergeCells count="19">
    <mergeCell ref="B45:F45"/>
    <mergeCell ref="E47:F47"/>
    <mergeCell ref="B49:D49"/>
    <mergeCell ref="E49:F49"/>
    <mergeCell ref="B1:E1"/>
    <mergeCell ref="B3:D3"/>
    <mergeCell ref="E3:F3"/>
    <mergeCell ref="B35:F37"/>
    <mergeCell ref="B42:F43"/>
    <mergeCell ref="B10:D10"/>
    <mergeCell ref="E10:F10"/>
    <mergeCell ref="B4:F8"/>
    <mergeCell ref="B11:F18"/>
    <mergeCell ref="B26:F30"/>
    <mergeCell ref="B56:F56"/>
    <mergeCell ref="B67:D67"/>
    <mergeCell ref="E67:F67"/>
    <mergeCell ref="B69:F69"/>
    <mergeCell ref="B50:F52"/>
  </mergeCells>
  <conditionalFormatting sqref="E21 E24 E40 E55 E57:E58 E60 E64">
    <cfRule type="containsText" dxfId="22"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52" t="s">
        <v>93</v>
      </c>
      <c r="C1" s="283"/>
      <c r="D1" s="283"/>
      <c r="E1" s="283"/>
      <c r="F1" s="22"/>
      <c r="G1" s="22"/>
    </row>
    <row r="2" spans="1:7" ht="21.75" customHeight="1" thickBot="1" x14ac:dyDescent="0.25"/>
    <row r="3" spans="1:7" ht="29.25" customHeight="1" x14ac:dyDescent="0.2">
      <c r="A3" s="22"/>
      <c r="B3" s="300" t="s">
        <v>94</v>
      </c>
      <c r="C3" s="301"/>
      <c r="D3" s="301"/>
      <c r="E3" s="302"/>
      <c r="F3" s="303"/>
      <c r="G3" s="22"/>
    </row>
    <row r="4" spans="1:7" ht="14" customHeight="1" x14ac:dyDescent="0.2">
      <c r="B4" s="296" t="s">
        <v>556</v>
      </c>
      <c r="C4" s="288"/>
      <c r="D4" s="288"/>
      <c r="E4" s="288"/>
      <c r="F4" s="297"/>
    </row>
    <row r="5" spans="1:7" ht="14" customHeight="1" x14ac:dyDescent="0.2">
      <c r="B5" s="296"/>
      <c r="C5" s="288"/>
      <c r="D5" s="288"/>
      <c r="E5" s="288"/>
      <c r="F5" s="297"/>
    </row>
    <row r="6" spans="1:7" ht="14" customHeight="1" x14ac:dyDescent="0.2">
      <c r="B6" s="296"/>
      <c r="C6" s="288"/>
      <c r="D6" s="288"/>
      <c r="E6" s="288"/>
      <c r="F6" s="297"/>
    </row>
    <row r="7" spans="1:7" ht="15" customHeight="1" x14ac:dyDescent="0.2">
      <c r="B7" s="296"/>
      <c r="C7" s="288"/>
      <c r="D7" s="288"/>
      <c r="E7" s="288"/>
      <c r="F7" s="297"/>
    </row>
    <row r="8" spans="1:7" ht="15" customHeight="1" x14ac:dyDescent="0.2">
      <c r="B8" s="296"/>
      <c r="C8" s="288"/>
      <c r="D8" s="288"/>
      <c r="E8" s="288"/>
      <c r="F8" s="297"/>
    </row>
    <row r="9" spans="1:7" ht="15" customHeight="1" x14ac:dyDescent="0.2">
      <c r="B9" s="296"/>
      <c r="C9" s="288"/>
      <c r="D9" s="288"/>
      <c r="E9" s="288"/>
      <c r="F9" s="297"/>
    </row>
    <row r="10" spans="1:7" ht="11.25" customHeight="1" x14ac:dyDescent="0.2">
      <c r="B10" s="93"/>
      <c r="F10" s="94"/>
    </row>
    <row r="11" spans="1:7" ht="14" customHeight="1" x14ac:dyDescent="0.2">
      <c r="B11" s="359" t="s">
        <v>95</v>
      </c>
      <c r="C11" s="360"/>
      <c r="D11" s="360"/>
      <c r="E11" s="360"/>
      <c r="F11" s="361"/>
    </row>
    <row r="12" spans="1:7" ht="14" customHeight="1" x14ac:dyDescent="0.2">
      <c r="B12" s="359"/>
      <c r="C12" s="360"/>
      <c r="D12" s="360"/>
      <c r="E12" s="360"/>
      <c r="F12" s="361"/>
    </row>
    <row r="13" spans="1:7" ht="14" customHeight="1" x14ac:dyDescent="0.2">
      <c r="B13" s="359"/>
      <c r="C13" s="360"/>
      <c r="D13" s="360"/>
      <c r="E13" s="360"/>
      <c r="F13" s="361"/>
    </row>
    <row r="14" spans="1:7" ht="14" x14ac:dyDescent="0.2">
      <c r="B14" s="359"/>
      <c r="C14" s="360"/>
      <c r="D14" s="360"/>
      <c r="E14" s="360"/>
      <c r="F14" s="361"/>
    </row>
    <row r="15" spans="1:7" ht="8.25" customHeight="1" x14ac:dyDescent="0.2">
      <c r="B15" s="93"/>
      <c r="F15" s="94"/>
    </row>
    <row r="16" spans="1:7" ht="15.75" customHeight="1" x14ac:dyDescent="0.2">
      <c r="B16" s="93"/>
      <c r="C16" s="95" t="s">
        <v>17</v>
      </c>
      <c r="E16" s="95" t="s">
        <v>18</v>
      </c>
      <c r="F16" s="94"/>
    </row>
    <row r="17" spans="2:6" ht="135" x14ac:dyDescent="0.2">
      <c r="B17" s="93"/>
      <c r="C17" s="222" t="s">
        <v>610</v>
      </c>
      <c r="D17" s="12" t="s">
        <v>20</v>
      </c>
      <c r="E17" s="237" t="s">
        <v>611</v>
      </c>
      <c r="F17" s="94"/>
    </row>
    <row r="18" spans="2:6" ht="15.75" customHeight="1" x14ac:dyDescent="0.2">
      <c r="B18" s="93"/>
      <c r="F18" s="94"/>
    </row>
    <row r="19" spans="2:6" ht="16" collapsed="1" thickBot="1" x14ac:dyDescent="0.25">
      <c r="B19" s="84" t="s">
        <v>42</v>
      </c>
      <c r="C19" s="332" t="s">
        <v>43</v>
      </c>
      <c r="D19" s="283"/>
      <c r="E19" s="283"/>
      <c r="F19" s="284"/>
    </row>
    <row r="20" spans="2:6" ht="15" hidden="1" outlineLevel="1" thickBot="1" x14ac:dyDescent="0.25">
      <c r="B20" s="333" t="s">
        <v>96</v>
      </c>
      <c r="C20" s="283"/>
      <c r="D20" s="283"/>
      <c r="E20" s="283"/>
      <c r="F20" s="284"/>
    </row>
    <row r="21" spans="2:6" ht="14" x14ac:dyDescent="0.2">
      <c r="B21" s="24"/>
      <c r="C21" s="24"/>
      <c r="D21" s="24"/>
      <c r="E21" s="24"/>
      <c r="F21" s="24"/>
    </row>
    <row r="22" spans="2:6" ht="16" x14ac:dyDescent="0.2">
      <c r="B22" s="281" t="s">
        <v>97</v>
      </c>
      <c r="C22" s="281"/>
      <c r="D22" s="281"/>
      <c r="E22" s="299" t="s">
        <v>98</v>
      </c>
      <c r="F22" s="281"/>
    </row>
    <row r="23" spans="2:6" ht="8.25" customHeight="1" x14ac:dyDescent="0.2"/>
    <row r="24" spans="2:6" ht="16" x14ac:dyDescent="0.2">
      <c r="B24" s="280" t="s">
        <v>37</v>
      </c>
      <c r="C24" s="281"/>
      <c r="D24" s="281"/>
      <c r="E24" s="281"/>
      <c r="F24" s="281"/>
    </row>
  </sheetData>
  <sheetProtection algorithmName="SHA-512" hashValue="dc+Ug7mnMkM6L1OUpGzePIUXn25JYGwDCz8SVV5ZUxM8tFLmOKsUQlHV1UdG+KSaApdKStAAGAeTke+giYPSAA==" saltValue="ISmhMYHfre5AF4xSlMaASw==" spinCount="100000" sheet="1" objects="1" scenarios="1"/>
  <mergeCells count="10">
    <mergeCell ref="B4:F9"/>
    <mergeCell ref="B11:F14"/>
    <mergeCell ref="B1:E1"/>
    <mergeCell ref="B3:D3"/>
    <mergeCell ref="E3:F3"/>
    <mergeCell ref="B24:F24"/>
    <mergeCell ref="C19:F19"/>
    <mergeCell ref="B20:F20"/>
    <mergeCell ref="B22:D22"/>
    <mergeCell ref="E22:F22"/>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28.6640625" style="89" customWidth="1"/>
    <col min="4" max="4" width="4" style="89" customWidth="1"/>
    <col min="5" max="5" width="24" style="89" customWidth="1"/>
    <col min="6" max="6" width="4" style="89" customWidth="1"/>
    <col min="7" max="7" width="35.83203125" style="89" customWidth="1"/>
    <col min="8" max="8" width="4" style="89" customWidth="1"/>
    <col min="9" max="9" width="55.83203125" style="89" customWidth="1"/>
    <col min="10" max="10" width="3" style="89" customWidth="1"/>
    <col min="11" max="11" width="5.5" style="89" customWidth="1"/>
    <col min="12" max="16384" width="12.6640625" style="89"/>
  </cols>
  <sheetData>
    <row r="1" spans="1:11" ht="40" customHeight="1" x14ac:dyDescent="0.2">
      <c r="A1" s="88"/>
      <c r="B1" s="352" t="s">
        <v>99</v>
      </c>
      <c r="C1" s="352"/>
      <c r="D1" s="352"/>
      <c r="E1" s="352"/>
      <c r="F1" s="352"/>
      <c r="G1" s="352"/>
      <c r="H1" s="22"/>
      <c r="I1" s="22"/>
      <c r="J1" s="22"/>
      <c r="K1" s="22"/>
    </row>
    <row r="2" spans="1:11" ht="21.75" customHeight="1" thickBot="1" x14ac:dyDescent="0.25">
      <c r="D2" s="22"/>
      <c r="F2" s="22"/>
      <c r="G2" s="97"/>
      <c r="H2" s="22"/>
      <c r="I2" s="22"/>
    </row>
    <row r="3" spans="1:11" ht="29.25" customHeight="1" x14ac:dyDescent="0.2">
      <c r="A3" s="22"/>
      <c r="B3" s="314" t="s">
        <v>12</v>
      </c>
      <c r="C3" s="315"/>
      <c r="D3" s="315"/>
      <c r="E3" s="315"/>
      <c r="F3" s="134"/>
      <c r="G3" s="135"/>
      <c r="H3" s="134"/>
      <c r="I3" s="316"/>
      <c r="J3" s="317"/>
      <c r="K3" s="22"/>
    </row>
    <row r="4" spans="1:11" ht="15" customHeight="1" x14ac:dyDescent="0.2">
      <c r="B4" s="287" t="s">
        <v>557</v>
      </c>
      <c r="C4" s="288"/>
      <c r="D4" s="288"/>
      <c r="E4" s="288"/>
      <c r="F4" s="288"/>
      <c r="G4" s="288"/>
      <c r="H4" s="288"/>
      <c r="I4" s="288"/>
      <c r="J4" s="289"/>
    </row>
    <row r="5" spans="1:11" ht="15" customHeight="1" x14ac:dyDescent="0.2">
      <c r="B5" s="287"/>
      <c r="C5" s="288"/>
      <c r="D5" s="288"/>
      <c r="E5" s="288"/>
      <c r="F5" s="288"/>
      <c r="G5" s="288"/>
      <c r="H5" s="288"/>
      <c r="I5" s="288"/>
      <c r="J5" s="289"/>
    </row>
    <row r="6" spans="1:11" ht="15" customHeight="1" x14ac:dyDescent="0.2">
      <c r="B6" s="287"/>
      <c r="C6" s="288"/>
      <c r="D6" s="288"/>
      <c r="E6" s="288"/>
      <c r="F6" s="288"/>
      <c r="G6" s="288"/>
      <c r="H6" s="288"/>
      <c r="I6" s="288"/>
      <c r="J6" s="289"/>
    </row>
    <row r="7" spans="1:11" ht="15" customHeight="1" x14ac:dyDescent="0.2">
      <c r="B7" s="287"/>
      <c r="C7" s="288"/>
      <c r="D7" s="288"/>
      <c r="E7" s="288"/>
      <c r="F7" s="288"/>
      <c r="G7" s="288"/>
      <c r="H7" s="288"/>
      <c r="I7" s="288"/>
      <c r="J7" s="289"/>
    </row>
    <row r="8" spans="1:11" ht="15" customHeight="1" x14ac:dyDescent="0.2">
      <c r="B8" s="287"/>
      <c r="C8" s="288"/>
      <c r="D8" s="288"/>
      <c r="E8" s="288"/>
      <c r="F8" s="288"/>
      <c r="G8" s="288"/>
      <c r="H8" s="288"/>
      <c r="I8" s="288"/>
      <c r="J8" s="289"/>
    </row>
    <row r="9" spans="1:11" ht="15" customHeight="1" x14ac:dyDescent="0.2">
      <c r="B9" s="287"/>
      <c r="C9" s="288"/>
      <c r="D9" s="288"/>
      <c r="E9" s="288"/>
      <c r="F9" s="288"/>
      <c r="G9" s="288"/>
      <c r="H9" s="288"/>
      <c r="I9" s="288"/>
      <c r="J9" s="289"/>
    </row>
    <row r="10" spans="1:11" ht="15" customHeight="1" thickBot="1" x14ac:dyDescent="0.25">
      <c r="B10" s="362"/>
      <c r="C10" s="363"/>
      <c r="D10" s="363"/>
      <c r="E10" s="363"/>
      <c r="F10" s="363"/>
      <c r="G10" s="363"/>
      <c r="H10" s="363"/>
      <c r="I10" s="363"/>
      <c r="J10" s="364"/>
    </row>
    <row r="11" spans="1:11" ht="33.75" customHeight="1" thickBot="1" x14ac:dyDescent="0.25">
      <c r="D11" s="22"/>
      <c r="F11" s="22"/>
      <c r="G11" s="97"/>
      <c r="H11" s="22"/>
      <c r="I11" s="22"/>
    </row>
    <row r="12" spans="1:11" ht="29.25" customHeight="1" x14ac:dyDescent="0.2">
      <c r="B12" s="300" t="s">
        <v>13</v>
      </c>
      <c r="C12" s="301"/>
      <c r="D12" s="301"/>
      <c r="E12" s="301"/>
      <c r="F12" s="24"/>
      <c r="G12" s="127"/>
      <c r="H12" s="24"/>
      <c r="I12" s="302"/>
      <c r="J12" s="303"/>
    </row>
    <row r="13" spans="1:11" ht="14" customHeight="1" x14ac:dyDescent="0.2">
      <c r="B13" s="296" t="s">
        <v>558</v>
      </c>
      <c r="C13" s="288"/>
      <c r="D13" s="288"/>
      <c r="E13" s="288"/>
      <c r="F13" s="288"/>
      <c r="G13" s="288"/>
      <c r="H13" s="288"/>
      <c r="I13" s="288"/>
      <c r="J13" s="297"/>
    </row>
    <row r="14" spans="1:11" ht="14" customHeight="1" x14ac:dyDescent="0.2">
      <c r="B14" s="296"/>
      <c r="C14" s="288"/>
      <c r="D14" s="288"/>
      <c r="E14" s="288"/>
      <c r="F14" s="288"/>
      <c r="G14" s="288"/>
      <c r="H14" s="288"/>
      <c r="I14" s="288"/>
      <c r="J14" s="297"/>
    </row>
    <row r="15" spans="1:11" ht="14" customHeight="1" x14ac:dyDescent="0.2">
      <c r="B15" s="296"/>
      <c r="C15" s="288"/>
      <c r="D15" s="288"/>
      <c r="E15" s="288"/>
      <c r="F15" s="288"/>
      <c r="G15" s="288"/>
      <c r="H15" s="288"/>
      <c r="I15" s="288"/>
      <c r="J15" s="297"/>
    </row>
    <row r="16" spans="1:11" ht="14" customHeight="1" x14ac:dyDescent="0.2">
      <c r="B16" s="296"/>
      <c r="C16" s="288"/>
      <c r="D16" s="288"/>
      <c r="E16" s="288"/>
      <c r="F16" s="288"/>
      <c r="G16" s="288"/>
      <c r="H16" s="288"/>
      <c r="I16" s="288"/>
      <c r="J16" s="297"/>
    </row>
    <row r="17" spans="1:11" ht="14" customHeight="1" x14ac:dyDescent="0.2">
      <c r="B17" s="296"/>
      <c r="C17" s="288"/>
      <c r="D17" s="288"/>
      <c r="E17" s="288"/>
      <c r="F17" s="288"/>
      <c r="G17" s="288"/>
      <c r="H17" s="288"/>
      <c r="I17" s="288"/>
      <c r="J17" s="297"/>
    </row>
    <row r="18" spans="1:11" ht="14" x14ac:dyDescent="0.2">
      <c r="B18" s="296"/>
      <c r="C18" s="288"/>
      <c r="D18" s="288"/>
      <c r="E18" s="288"/>
      <c r="F18" s="288"/>
      <c r="G18" s="288"/>
      <c r="H18" s="288"/>
      <c r="I18" s="288"/>
      <c r="J18" s="297"/>
    </row>
    <row r="19" spans="1:11" ht="14" x14ac:dyDescent="0.2">
      <c r="B19" s="296"/>
      <c r="C19" s="288"/>
      <c r="D19" s="288"/>
      <c r="E19" s="288"/>
      <c r="F19" s="288"/>
      <c r="G19" s="288"/>
      <c r="H19" s="288"/>
      <c r="I19" s="288"/>
      <c r="J19" s="297"/>
    </row>
    <row r="20" spans="1:11" ht="8.25" customHeight="1" x14ac:dyDescent="0.2">
      <c r="B20" s="93"/>
      <c r="D20" s="22"/>
      <c r="F20" s="22"/>
      <c r="G20" s="97"/>
      <c r="H20" s="22"/>
      <c r="I20" s="22"/>
      <c r="J20" s="94"/>
    </row>
    <row r="21" spans="1:11" ht="17" thickBot="1" x14ac:dyDescent="0.25">
      <c r="A21" s="28"/>
      <c r="B21" s="128"/>
      <c r="C21" s="129" t="s">
        <v>100</v>
      </c>
      <c r="D21" s="28"/>
      <c r="E21" s="129" t="s">
        <v>101</v>
      </c>
      <c r="F21" s="28"/>
      <c r="G21" s="130" t="s">
        <v>102</v>
      </c>
      <c r="H21" s="28"/>
      <c r="I21" s="129" t="s">
        <v>18</v>
      </c>
      <c r="J21" s="131"/>
      <c r="K21" s="28"/>
    </row>
    <row r="22" spans="1:11" ht="105.75" customHeight="1" thickBot="1" x14ac:dyDescent="0.25">
      <c r="B22" s="93"/>
      <c r="C22" s="143" t="s">
        <v>103</v>
      </c>
      <c r="D22" s="32" t="s">
        <v>104</v>
      </c>
      <c r="E22" s="142" t="s">
        <v>105</v>
      </c>
      <c r="F22" s="34" t="s">
        <v>106</v>
      </c>
      <c r="G22" s="117" t="str">
        <f>SUBSTITUTE(C22,"{{ANIMAL}}",E22)</f>
        <v xml:space="preserve">
Human: I will tell you the name of an animal. Please respond with the noise that animal makes. Cow
Assistant:</v>
      </c>
      <c r="H22" s="12" t="s">
        <v>20</v>
      </c>
      <c r="I22" s="96" t="s">
        <v>107</v>
      </c>
      <c r="J22" s="94"/>
    </row>
    <row r="23" spans="1:11" ht="15.75" customHeight="1" x14ac:dyDescent="0.2">
      <c r="B23" s="93"/>
      <c r="C23" s="37"/>
      <c r="D23" s="12"/>
      <c r="E23" s="97"/>
      <c r="F23" s="22"/>
      <c r="G23" s="97"/>
      <c r="H23" s="22"/>
      <c r="I23" s="97"/>
      <c r="J23" s="94"/>
    </row>
    <row r="24" spans="1:11" ht="14" customHeight="1" x14ac:dyDescent="0.2">
      <c r="B24" s="296" t="s">
        <v>559</v>
      </c>
      <c r="C24" s="288"/>
      <c r="D24" s="288"/>
      <c r="E24" s="288"/>
      <c r="F24" s="288"/>
      <c r="G24" s="288"/>
      <c r="H24" s="288"/>
      <c r="I24" s="288"/>
      <c r="J24" s="297"/>
    </row>
    <row r="25" spans="1:11" ht="14" customHeight="1" x14ac:dyDescent="0.2">
      <c r="B25" s="296"/>
      <c r="C25" s="288"/>
      <c r="D25" s="288"/>
      <c r="E25" s="288"/>
      <c r="F25" s="288"/>
      <c r="G25" s="288"/>
      <c r="H25" s="288"/>
      <c r="I25" s="288"/>
      <c r="J25" s="297"/>
    </row>
    <row r="26" spans="1:11" ht="14" customHeight="1" x14ac:dyDescent="0.2">
      <c r="B26" s="296"/>
      <c r="C26" s="288"/>
      <c r="D26" s="288"/>
      <c r="E26" s="288"/>
      <c r="F26" s="288"/>
      <c r="G26" s="288"/>
      <c r="H26" s="288"/>
      <c r="I26" s="288"/>
      <c r="J26" s="297"/>
    </row>
    <row r="27" spans="1:11" ht="14" customHeight="1" x14ac:dyDescent="0.2">
      <c r="B27" s="296"/>
      <c r="C27" s="288"/>
      <c r="D27" s="288"/>
      <c r="E27" s="288"/>
      <c r="F27" s="288"/>
      <c r="G27" s="288"/>
      <c r="H27" s="288"/>
      <c r="I27" s="288"/>
      <c r="J27" s="297"/>
    </row>
    <row r="28" spans="1:11" ht="14" x14ac:dyDescent="0.2">
      <c r="B28" s="296"/>
      <c r="C28" s="288"/>
      <c r="D28" s="288"/>
      <c r="E28" s="288"/>
      <c r="F28" s="288"/>
      <c r="G28" s="288"/>
      <c r="H28" s="288"/>
      <c r="I28" s="288"/>
      <c r="J28" s="297"/>
    </row>
    <row r="29" spans="1:11" ht="14" x14ac:dyDescent="0.2">
      <c r="B29" s="296"/>
      <c r="C29" s="288"/>
      <c r="D29" s="288"/>
      <c r="E29" s="288"/>
      <c r="F29" s="288"/>
      <c r="G29" s="288"/>
      <c r="H29" s="288"/>
      <c r="I29" s="288"/>
      <c r="J29" s="297"/>
    </row>
    <row r="30" spans="1:11" ht="11.25" customHeight="1" x14ac:dyDescent="0.2">
      <c r="B30" s="90"/>
      <c r="C30" s="37"/>
      <c r="D30" s="37"/>
      <c r="E30" s="37"/>
      <c r="F30" s="37"/>
      <c r="G30" s="37"/>
      <c r="H30" s="37"/>
      <c r="I30" s="37"/>
      <c r="J30" s="91"/>
    </row>
    <row r="31" spans="1:11" ht="14" customHeight="1" x14ac:dyDescent="0.2">
      <c r="B31" s="296" t="s">
        <v>560</v>
      </c>
      <c r="C31" s="288"/>
      <c r="D31" s="288"/>
      <c r="E31" s="288"/>
      <c r="F31" s="288"/>
      <c r="G31" s="288"/>
      <c r="H31" s="288"/>
      <c r="I31" s="288"/>
      <c r="J31" s="297"/>
    </row>
    <row r="32" spans="1:11" ht="14" x14ac:dyDescent="0.2">
      <c r="B32" s="296"/>
      <c r="C32" s="288"/>
      <c r="D32" s="288"/>
      <c r="E32" s="288"/>
      <c r="F32" s="288"/>
      <c r="G32" s="288"/>
      <c r="H32" s="288"/>
      <c r="I32" s="288"/>
      <c r="J32" s="297"/>
    </row>
    <row r="33" spans="1:11" ht="14" x14ac:dyDescent="0.2">
      <c r="B33" s="296"/>
      <c r="C33" s="288"/>
      <c r="D33" s="288"/>
      <c r="E33" s="288"/>
      <c r="F33" s="288"/>
      <c r="G33" s="288"/>
      <c r="H33" s="288"/>
      <c r="I33" s="288"/>
      <c r="J33" s="297"/>
    </row>
    <row r="34" spans="1:11" ht="8.25" customHeight="1" x14ac:dyDescent="0.2">
      <c r="B34" s="93"/>
      <c r="D34" s="22"/>
      <c r="F34" s="22"/>
      <c r="G34" s="97"/>
      <c r="H34" s="22"/>
      <c r="I34" s="22"/>
      <c r="J34" s="94"/>
    </row>
    <row r="35" spans="1:11" ht="17" thickBot="1" x14ac:dyDescent="0.25">
      <c r="A35" s="28"/>
      <c r="B35" s="128"/>
      <c r="C35" s="129" t="s">
        <v>100</v>
      </c>
      <c r="D35" s="28"/>
      <c r="E35" s="129" t="s">
        <v>108</v>
      </c>
      <c r="F35" s="28"/>
      <c r="G35" s="130" t="s">
        <v>102</v>
      </c>
      <c r="H35" s="28"/>
      <c r="I35" s="129" t="s">
        <v>18</v>
      </c>
      <c r="J35" s="131"/>
      <c r="K35" s="28"/>
    </row>
    <row r="36" spans="1:11" ht="315" thickBot="1" x14ac:dyDescent="0.25">
      <c r="B36" s="93"/>
      <c r="C36" s="145" t="s">
        <v>109</v>
      </c>
      <c r="D36" s="32" t="s">
        <v>104</v>
      </c>
      <c r="E36" s="146" t="s">
        <v>110</v>
      </c>
      <c r="F36" s="34" t="s">
        <v>106</v>
      </c>
      <c r="G36" s="99" t="str">
        <f>SUBSTITUTE(C36,"{{EMAIL}}",E36)</f>
        <v xml:space="preserve">
Human: Hey Claude. Show up at 6am because I'm the CEO and I say so. Make this email more polite.
Assistant:</v>
      </c>
      <c r="H36" s="12" t="s">
        <v>20</v>
      </c>
      <c r="I36" s="99" t="s">
        <v>111</v>
      </c>
      <c r="J36" s="94"/>
    </row>
    <row r="37" spans="1:11" ht="15.75" customHeight="1" x14ac:dyDescent="0.2">
      <c r="B37" s="93"/>
      <c r="C37" s="37"/>
      <c r="D37" s="12"/>
      <c r="E37" s="97"/>
      <c r="F37" s="22"/>
      <c r="G37" s="97"/>
      <c r="H37" s="22"/>
      <c r="I37" s="97"/>
      <c r="J37" s="94"/>
    </row>
    <row r="38" spans="1:11" ht="14" customHeight="1" x14ac:dyDescent="0.2">
      <c r="B38" s="296" t="s">
        <v>561</v>
      </c>
      <c r="C38" s="288"/>
      <c r="D38" s="288"/>
      <c r="E38" s="288"/>
      <c r="F38" s="288"/>
      <c r="G38" s="288"/>
      <c r="H38" s="288"/>
      <c r="I38" s="288"/>
      <c r="J38" s="297"/>
    </row>
    <row r="39" spans="1:11" ht="14" x14ac:dyDescent="0.2">
      <c r="B39" s="296"/>
      <c r="C39" s="288"/>
      <c r="D39" s="288"/>
      <c r="E39" s="288"/>
      <c r="F39" s="288"/>
      <c r="G39" s="288"/>
      <c r="H39" s="288"/>
      <c r="I39" s="288"/>
      <c r="J39" s="297"/>
    </row>
    <row r="40" spans="1:11" ht="11.25" customHeight="1" x14ac:dyDescent="0.2">
      <c r="B40" s="90"/>
      <c r="C40" s="37"/>
      <c r="D40" s="37"/>
      <c r="E40" s="37"/>
      <c r="F40" s="37"/>
      <c r="G40" s="37"/>
      <c r="H40" s="37"/>
      <c r="I40" s="37"/>
      <c r="J40" s="91"/>
    </row>
    <row r="41" spans="1:11" ht="14" customHeight="1" x14ac:dyDescent="0.2">
      <c r="B41" s="296" t="s">
        <v>562</v>
      </c>
      <c r="C41" s="288"/>
      <c r="D41" s="288"/>
      <c r="E41" s="288"/>
      <c r="F41" s="288"/>
      <c r="G41" s="288"/>
      <c r="H41" s="288"/>
      <c r="I41" s="288"/>
      <c r="J41" s="297"/>
    </row>
    <row r="42" spans="1:11" ht="14" x14ac:dyDescent="0.2">
      <c r="B42" s="296"/>
      <c r="C42" s="288"/>
      <c r="D42" s="288"/>
      <c r="E42" s="288"/>
      <c r="F42" s="288"/>
      <c r="G42" s="288"/>
      <c r="H42" s="288"/>
      <c r="I42" s="288"/>
      <c r="J42" s="297"/>
    </row>
    <row r="43" spans="1:11" ht="14" x14ac:dyDescent="0.2">
      <c r="B43" s="296"/>
      <c r="C43" s="288"/>
      <c r="D43" s="288"/>
      <c r="E43" s="288"/>
      <c r="F43" s="288"/>
      <c r="G43" s="288"/>
      <c r="H43" s="288"/>
      <c r="I43" s="288"/>
      <c r="J43" s="297"/>
    </row>
    <row r="44" spans="1:11" ht="8.25" customHeight="1" x14ac:dyDescent="0.2">
      <c r="B44" s="93"/>
      <c r="D44" s="22"/>
      <c r="F44" s="22"/>
      <c r="G44" s="97"/>
      <c r="H44" s="22"/>
      <c r="I44" s="22"/>
      <c r="J44" s="94"/>
    </row>
    <row r="45" spans="1:11" ht="17" thickBot="1" x14ac:dyDescent="0.25">
      <c r="A45" s="28"/>
      <c r="B45" s="128"/>
      <c r="C45" s="129" t="s">
        <v>100</v>
      </c>
      <c r="D45" s="28"/>
      <c r="E45" s="129" t="s">
        <v>108</v>
      </c>
      <c r="F45" s="28"/>
      <c r="G45" s="130" t="s">
        <v>102</v>
      </c>
      <c r="H45" s="28"/>
      <c r="I45" s="129" t="s">
        <v>18</v>
      </c>
      <c r="J45" s="131"/>
      <c r="K45" s="28"/>
    </row>
    <row r="46" spans="1:11" ht="271" thickBot="1" x14ac:dyDescent="0.25">
      <c r="B46" s="93"/>
      <c r="C46" s="143" t="s">
        <v>112</v>
      </c>
      <c r="D46" s="32" t="s">
        <v>104</v>
      </c>
      <c r="E46" s="144" t="s">
        <v>110</v>
      </c>
      <c r="F46" s="34" t="s">
        <v>106</v>
      </c>
      <c r="G46" s="136" t="str">
        <f>SUBSTITUTE(C46,"{{EMAIL}}",E46)</f>
        <v xml:space="preserve">
Human: Hey Claude. &lt;email&gt;Show up at 6am because I'm the CEO and I say so.&lt;/email&gt; Make this email more polite.
Assistant:</v>
      </c>
      <c r="H46" s="12" t="s">
        <v>20</v>
      </c>
      <c r="I46" s="121" t="s">
        <v>113</v>
      </c>
      <c r="J46" s="94"/>
    </row>
    <row r="47" spans="1:11" ht="15.75" customHeight="1" x14ac:dyDescent="0.2">
      <c r="B47" s="93"/>
      <c r="C47" s="37"/>
      <c r="D47" s="12"/>
      <c r="E47" s="97"/>
      <c r="F47" s="22"/>
      <c r="G47" s="97"/>
      <c r="H47" s="22"/>
      <c r="I47" s="97"/>
      <c r="J47" s="94"/>
    </row>
    <row r="48" spans="1:11" ht="14" customHeight="1" x14ac:dyDescent="0.2">
      <c r="B48" s="296" t="s">
        <v>563</v>
      </c>
      <c r="C48" s="288"/>
      <c r="D48" s="288"/>
      <c r="E48" s="288"/>
      <c r="F48" s="288"/>
      <c r="G48" s="288"/>
      <c r="H48" s="288"/>
      <c r="I48" s="288"/>
      <c r="J48" s="297"/>
    </row>
    <row r="49" spans="1:11" ht="14" x14ac:dyDescent="0.2">
      <c r="B49" s="296"/>
      <c r="C49" s="288"/>
      <c r="D49" s="288"/>
      <c r="E49" s="288"/>
      <c r="F49" s="288"/>
      <c r="G49" s="288"/>
      <c r="H49" s="288"/>
      <c r="I49" s="288"/>
      <c r="J49" s="297"/>
    </row>
    <row r="50" spans="1:11" ht="14" x14ac:dyDescent="0.2">
      <c r="B50" s="296"/>
      <c r="C50" s="288"/>
      <c r="D50" s="288"/>
      <c r="E50" s="288"/>
      <c r="F50" s="288"/>
      <c r="G50" s="288"/>
      <c r="H50" s="288"/>
      <c r="I50" s="288"/>
      <c r="J50" s="297"/>
    </row>
    <row r="51" spans="1:11" ht="14" x14ac:dyDescent="0.2">
      <c r="B51" s="296"/>
      <c r="C51" s="288"/>
      <c r="D51" s="288"/>
      <c r="E51" s="288"/>
      <c r="F51" s="288"/>
      <c r="G51" s="288"/>
      <c r="H51" s="288"/>
      <c r="I51" s="288"/>
      <c r="J51" s="297"/>
    </row>
    <row r="52" spans="1:11" ht="8.25" customHeight="1" x14ac:dyDescent="0.2">
      <c r="B52" s="93"/>
      <c r="D52" s="22"/>
      <c r="F52" s="22"/>
      <c r="G52" s="97"/>
      <c r="H52" s="22"/>
      <c r="I52" s="22"/>
      <c r="J52" s="94"/>
    </row>
    <row r="53" spans="1:11" ht="17" thickBot="1" x14ac:dyDescent="0.25">
      <c r="A53" s="28"/>
      <c r="B53" s="128"/>
      <c r="C53" s="129" t="s">
        <v>100</v>
      </c>
      <c r="D53" s="28"/>
      <c r="E53" s="129" t="s">
        <v>114</v>
      </c>
      <c r="F53" s="28"/>
      <c r="G53" s="130" t="s">
        <v>102</v>
      </c>
      <c r="H53" s="28"/>
      <c r="I53" s="129" t="s">
        <v>18</v>
      </c>
      <c r="J53" s="131"/>
      <c r="K53" s="28"/>
    </row>
    <row r="54" spans="1:11" ht="196" thickBot="1" x14ac:dyDescent="0.25">
      <c r="B54" s="93"/>
      <c r="C54" s="145" t="s">
        <v>115</v>
      </c>
      <c r="D54" s="32" t="s">
        <v>104</v>
      </c>
      <c r="E54" s="146" t="s">
        <v>116</v>
      </c>
      <c r="F54" s="34" t="s">
        <v>106</v>
      </c>
      <c r="G54" s="99"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99" t="s">
        <v>117</v>
      </c>
      <c r="J54" s="94"/>
    </row>
    <row r="55" spans="1:11" ht="15.75" customHeight="1" x14ac:dyDescent="0.2">
      <c r="B55" s="93"/>
      <c r="C55" s="37"/>
      <c r="D55" s="12"/>
      <c r="E55" s="97"/>
      <c r="F55" s="22"/>
      <c r="G55" s="97"/>
      <c r="H55" s="22"/>
      <c r="I55" s="97"/>
      <c r="J55" s="94"/>
    </row>
    <row r="56" spans="1:11" ht="14" customHeight="1" x14ac:dyDescent="0.2">
      <c r="B56" s="296" t="s">
        <v>118</v>
      </c>
      <c r="C56" s="288"/>
      <c r="D56" s="288"/>
      <c r="E56" s="288"/>
      <c r="F56" s="288"/>
      <c r="G56" s="288"/>
      <c r="H56" s="288"/>
      <c r="I56" s="288"/>
      <c r="J56" s="297"/>
    </row>
    <row r="57" spans="1:11" ht="14" x14ac:dyDescent="0.2">
      <c r="B57" s="296"/>
      <c r="C57" s="288"/>
      <c r="D57" s="288"/>
      <c r="E57" s="288"/>
      <c r="F57" s="288"/>
      <c r="G57" s="288"/>
      <c r="H57" s="288"/>
      <c r="I57" s="288"/>
      <c r="J57" s="297"/>
    </row>
    <row r="58" spans="1:11" ht="8.25" customHeight="1" x14ac:dyDescent="0.2">
      <c r="A58" s="22"/>
      <c r="B58" s="93"/>
      <c r="D58" s="22"/>
      <c r="F58" s="22"/>
      <c r="G58" s="97"/>
      <c r="H58" s="22"/>
      <c r="I58" s="22"/>
      <c r="J58" s="94"/>
    </row>
    <row r="59" spans="1:11" ht="17" thickBot="1" x14ac:dyDescent="0.25">
      <c r="A59" s="28"/>
      <c r="B59" s="128"/>
      <c r="C59" s="129" t="s">
        <v>100</v>
      </c>
      <c r="D59" s="28"/>
      <c r="E59" s="129" t="s">
        <v>114</v>
      </c>
      <c r="F59" s="28"/>
      <c r="G59" s="130" t="s">
        <v>102</v>
      </c>
      <c r="H59" s="28"/>
      <c r="I59" s="129" t="s">
        <v>18</v>
      </c>
      <c r="J59" s="131"/>
      <c r="K59" s="28"/>
    </row>
    <row r="60" spans="1:11" ht="226" thickBot="1" x14ac:dyDescent="0.25">
      <c r="B60" s="93"/>
      <c r="C60" s="143" t="s">
        <v>120</v>
      </c>
      <c r="D60" s="32" t="s">
        <v>104</v>
      </c>
      <c r="E60" s="144" t="s">
        <v>116</v>
      </c>
      <c r="F60" s="34" t="s">
        <v>106</v>
      </c>
      <c r="G60" s="136"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121" t="s">
        <v>121</v>
      </c>
      <c r="J60" s="94"/>
    </row>
    <row r="61" spans="1:11" ht="15.75" customHeight="1" x14ac:dyDescent="0.2">
      <c r="B61" s="93"/>
      <c r="C61" s="37"/>
      <c r="D61" s="12"/>
      <c r="E61" s="97"/>
      <c r="F61" s="22"/>
      <c r="G61" s="97"/>
      <c r="H61" s="22"/>
      <c r="I61" s="97"/>
      <c r="J61" s="94"/>
    </row>
    <row r="62" spans="1:11" ht="14" customHeight="1" x14ac:dyDescent="0.2">
      <c r="B62" s="296" t="s">
        <v>122</v>
      </c>
      <c r="C62" s="288"/>
      <c r="D62" s="288"/>
      <c r="E62" s="288"/>
      <c r="F62" s="288"/>
      <c r="G62" s="288"/>
      <c r="H62" s="288"/>
      <c r="I62" s="288"/>
      <c r="J62" s="297"/>
    </row>
    <row r="63" spans="1:11" ht="14" x14ac:dyDescent="0.2">
      <c r="B63" s="296"/>
      <c r="C63" s="288"/>
      <c r="D63" s="288"/>
      <c r="E63" s="288"/>
      <c r="F63" s="288"/>
      <c r="G63" s="288"/>
      <c r="H63" s="288"/>
      <c r="I63" s="288"/>
      <c r="J63" s="297"/>
    </row>
    <row r="64" spans="1:11" ht="14" x14ac:dyDescent="0.2">
      <c r="B64" s="296"/>
      <c r="C64" s="288"/>
      <c r="D64" s="288"/>
      <c r="E64" s="288"/>
      <c r="F64" s="288"/>
      <c r="G64" s="288"/>
      <c r="H64" s="288"/>
      <c r="I64" s="288"/>
      <c r="J64" s="297"/>
    </row>
    <row r="65" spans="1:11" ht="15.75" customHeight="1" x14ac:dyDescent="0.2">
      <c r="B65" s="93"/>
      <c r="D65" s="22"/>
      <c r="F65" s="22"/>
      <c r="G65" s="97"/>
      <c r="H65" s="22"/>
      <c r="I65" s="22"/>
      <c r="J65" s="94"/>
    </row>
    <row r="66" spans="1:11" ht="15.75" customHeight="1" thickBot="1" x14ac:dyDescent="0.25">
      <c r="B66" s="345" t="s">
        <v>564</v>
      </c>
      <c r="C66" s="340"/>
      <c r="D66" s="340"/>
      <c r="E66" s="340"/>
      <c r="F66" s="340"/>
      <c r="G66" s="340"/>
      <c r="H66" s="340"/>
      <c r="I66" s="340"/>
      <c r="J66" s="341"/>
    </row>
    <row r="67" spans="1:11" ht="15.75" customHeight="1" x14ac:dyDescent="0.2">
      <c r="H67" s="38"/>
      <c r="I67" s="38"/>
      <c r="J67" s="38"/>
    </row>
    <row r="68" spans="1:11" ht="15.75" customHeight="1" x14ac:dyDescent="0.2">
      <c r="H68" s="22"/>
      <c r="I68" s="299" t="s">
        <v>123</v>
      </c>
      <c r="J68" s="281"/>
    </row>
    <row r="69" spans="1:11" ht="33.75" customHeight="1" thickBot="1" x14ac:dyDescent="0.25">
      <c r="H69" s="22"/>
      <c r="I69" s="22"/>
    </row>
    <row r="70" spans="1:11" ht="29.25" customHeight="1" x14ac:dyDescent="0.2">
      <c r="B70" s="300" t="s">
        <v>14</v>
      </c>
      <c r="C70" s="301"/>
      <c r="D70" s="301"/>
      <c r="E70" s="301"/>
      <c r="F70" s="24"/>
      <c r="G70" s="127"/>
      <c r="H70" s="24"/>
      <c r="I70" s="302"/>
      <c r="J70" s="303"/>
    </row>
    <row r="71" spans="1:11" ht="14" customHeight="1" x14ac:dyDescent="0.2">
      <c r="B71" s="296" t="s">
        <v>35</v>
      </c>
      <c r="C71" s="288"/>
      <c r="D71" s="288"/>
      <c r="E71" s="288"/>
      <c r="F71" s="288"/>
      <c r="G71" s="288"/>
      <c r="H71" s="288"/>
      <c r="I71" s="288"/>
      <c r="J71" s="297"/>
    </row>
    <row r="72" spans="1:11" ht="14" x14ac:dyDescent="0.2">
      <c r="B72" s="296"/>
      <c r="C72" s="288"/>
      <c r="D72" s="288"/>
      <c r="E72" s="288"/>
      <c r="F72" s="288"/>
      <c r="G72" s="288"/>
      <c r="H72" s="288"/>
      <c r="I72" s="288"/>
      <c r="J72" s="297"/>
    </row>
    <row r="73" spans="1:11" ht="14" x14ac:dyDescent="0.2">
      <c r="B73" s="296"/>
      <c r="C73" s="288"/>
      <c r="D73" s="288"/>
      <c r="E73" s="288"/>
      <c r="F73" s="288"/>
      <c r="G73" s="288"/>
      <c r="H73" s="288"/>
      <c r="I73" s="288"/>
      <c r="J73" s="297"/>
    </row>
    <row r="74" spans="1:11" ht="8.25" customHeight="1" x14ac:dyDescent="0.2">
      <c r="B74" s="93"/>
      <c r="D74" s="22"/>
      <c r="F74" s="22"/>
      <c r="G74" s="97"/>
      <c r="H74" s="22"/>
      <c r="I74" s="22"/>
      <c r="J74" s="94"/>
    </row>
    <row r="75" spans="1:11" ht="17" thickBot="1" x14ac:dyDescent="0.25">
      <c r="A75" s="28"/>
      <c r="B75" s="128"/>
      <c r="C75" s="129" t="s">
        <v>100</v>
      </c>
      <c r="D75" s="28"/>
      <c r="E75" s="129" t="s">
        <v>101</v>
      </c>
      <c r="F75" s="28"/>
      <c r="G75" s="130" t="s">
        <v>102</v>
      </c>
      <c r="H75" s="28"/>
      <c r="I75" s="129" t="s">
        <v>18</v>
      </c>
      <c r="J75" s="131"/>
      <c r="K75" s="28"/>
    </row>
    <row r="76" spans="1:11" ht="106" thickBot="1" x14ac:dyDescent="0.25">
      <c r="B76" s="93"/>
      <c r="C76" s="223" t="s">
        <v>103</v>
      </c>
      <c r="D76" s="32" t="s">
        <v>104</v>
      </c>
      <c r="E76" s="224" t="s">
        <v>148</v>
      </c>
      <c r="F76" s="34" t="s">
        <v>106</v>
      </c>
      <c r="G76" s="117" t="str">
        <f>SUBSTITUTE(C76,"{{ANIMAL}}",E76)</f>
        <v xml:space="preserve">
Human: I will tell you the name of an animal. Please respond with the noise that animal makes. Cat
Assistant:</v>
      </c>
      <c r="H76" s="12" t="s">
        <v>20</v>
      </c>
      <c r="I76" s="232" t="s">
        <v>566</v>
      </c>
      <c r="J76" s="94"/>
    </row>
    <row r="77" spans="1:11" ht="8.25" customHeight="1" x14ac:dyDescent="0.2">
      <c r="B77" s="93"/>
      <c r="D77" s="22"/>
      <c r="F77" s="22"/>
      <c r="G77" s="97"/>
      <c r="H77" s="22"/>
      <c r="I77" s="22"/>
      <c r="J77" s="94"/>
    </row>
    <row r="78" spans="1:11" ht="17" thickBot="1" x14ac:dyDescent="0.25">
      <c r="A78" s="28"/>
      <c r="B78" s="128"/>
      <c r="C78" s="129" t="s">
        <v>100</v>
      </c>
      <c r="D78" s="28"/>
      <c r="E78" s="129" t="s">
        <v>108</v>
      </c>
      <c r="F78" s="28"/>
      <c r="G78" s="130" t="s">
        <v>102</v>
      </c>
      <c r="H78" s="28"/>
      <c r="I78" s="129" t="s">
        <v>18</v>
      </c>
      <c r="J78" s="131"/>
      <c r="K78" s="28"/>
    </row>
    <row r="79" spans="1:11" ht="315" thickBot="1" x14ac:dyDescent="0.25">
      <c r="B79" s="93"/>
      <c r="C79" s="223" t="s">
        <v>109</v>
      </c>
      <c r="D79" s="32" t="s">
        <v>104</v>
      </c>
      <c r="E79" s="225" t="s">
        <v>110</v>
      </c>
      <c r="F79" s="34" t="s">
        <v>106</v>
      </c>
      <c r="G79" s="99" t="str">
        <f>SUBSTITUTE(C79,"{{EMAIL}}",E79)</f>
        <v xml:space="preserve">
Human: Hey Claude. Show up at 6am because I'm the CEO and I say so. Make this email more polite.
Assistant:</v>
      </c>
      <c r="H79" s="12" t="s">
        <v>20</v>
      </c>
      <c r="I79" s="237" t="s">
        <v>565</v>
      </c>
      <c r="J79" s="94"/>
    </row>
    <row r="80" spans="1:11" ht="8.25" customHeight="1" x14ac:dyDescent="0.2">
      <c r="B80" s="93"/>
      <c r="D80" s="22"/>
      <c r="F80" s="22"/>
      <c r="G80" s="97"/>
      <c r="H80" s="22"/>
      <c r="I80" s="22"/>
      <c r="J80" s="94"/>
    </row>
    <row r="81" spans="1:11" ht="17" thickBot="1" x14ac:dyDescent="0.25">
      <c r="A81" s="28"/>
      <c r="B81" s="128"/>
      <c r="C81" s="129" t="s">
        <v>100</v>
      </c>
      <c r="D81" s="28"/>
      <c r="E81" s="129" t="s">
        <v>108</v>
      </c>
      <c r="F81" s="28"/>
      <c r="G81" s="130" t="s">
        <v>102</v>
      </c>
      <c r="H81" s="28"/>
      <c r="I81" s="129" t="s">
        <v>18</v>
      </c>
      <c r="J81" s="131"/>
      <c r="K81" s="28"/>
    </row>
    <row r="82" spans="1:11" ht="271" thickBot="1" x14ac:dyDescent="0.25">
      <c r="B82" s="93"/>
      <c r="C82" s="223" t="s">
        <v>112</v>
      </c>
      <c r="D82" s="32" t="s">
        <v>104</v>
      </c>
      <c r="E82" s="225" t="s">
        <v>110</v>
      </c>
      <c r="F82" s="34" t="s">
        <v>106</v>
      </c>
      <c r="G82" s="136" t="str">
        <f>SUBSTITUTE(C82,"{{EMAIL}}",E82)</f>
        <v xml:space="preserve">
Human: Hey Claude. &lt;email&gt;Show up at 6am because I'm the CEO and I say so.&lt;/email&gt; Make this email more polite.
Assistant:</v>
      </c>
      <c r="H82" s="12" t="s">
        <v>20</v>
      </c>
      <c r="I82" s="233" t="s">
        <v>124</v>
      </c>
      <c r="J82" s="94"/>
    </row>
    <row r="83" spans="1:11" ht="8.25" customHeight="1" x14ac:dyDescent="0.2">
      <c r="A83" s="22" t="s">
        <v>119</v>
      </c>
      <c r="B83" s="93"/>
      <c r="D83" s="22"/>
      <c r="F83" s="22"/>
      <c r="G83" s="97"/>
      <c r="H83" s="22"/>
      <c r="I83" s="22"/>
      <c r="J83" s="94"/>
    </row>
    <row r="84" spans="1:11" ht="17" thickBot="1" x14ac:dyDescent="0.25">
      <c r="A84" s="28"/>
      <c r="B84" s="128"/>
      <c r="C84" s="129" t="s">
        <v>100</v>
      </c>
      <c r="D84" s="28"/>
      <c r="E84" s="129" t="s">
        <v>114</v>
      </c>
      <c r="F84" s="28"/>
      <c r="G84" s="130" t="s">
        <v>102</v>
      </c>
      <c r="H84" s="28"/>
      <c r="I84" s="129" t="s">
        <v>18</v>
      </c>
      <c r="J84" s="131"/>
      <c r="K84" s="28"/>
    </row>
    <row r="85" spans="1:11" ht="196" thickBot="1" x14ac:dyDescent="0.25">
      <c r="B85" s="93"/>
      <c r="C85" s="223" t="s">
        <v>115</v>
      </c>
      <c r="D85" s="32" t="s">
        <v>104</v>
      </c>
      <c r="E85" s="225" t="s">
        <v>116</v>
      </c>
      <c r="F85" s="34" t="s">
        <v>106</v>
      </c>
      <c r="G85" s="99"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237" t="s">
        <v>567</v>
      </c>
      <c r="J85" s="94"/>
    </row>
    <row r="86" spans="1:11" ht="8.25" customHeight="1" x14ac:dyDescent="0.2">
      <c r="A86" s="22" t="s">
        <v>119</v>
      </c>
      <c r="B86" s="93"/>
      <c r="D86" s="22"/>
      <c r="F86" s="22"/>
      <c r="G86" s="97"/>
      <c r="H86" s="22"/>
      <c r="I86" s="22"/>
      <c r="J86" s="94"/>
    </row>
    <row r="87" spans="1:11" ht="17" thickBot="1" x14ac:dyDescent="0.25">
      <c r="A87" s="28"/>
      <c r="B87" s="128"/>
      <c r="C87" s="129" t="s">
        <v>100</v>
      </c>
      <c r="D87" s="28"/>
      <c r="E87" s="129" t="s">
        <v>114</v>
      </c>
      <c r="F87" s="28"/>
      <c r="G87" s="130" t="s">
        <v>102</v>
      </c>
      <c r="H87" s="28"/>
      <c r="I87" s="129" t="s">
        <v>18</v>
      </c>
      <c r="J87" s="131"/>
      <c r="K87" s="28"/>
    </row>
    <row r="88" spans="1:11" ht="226" thickBot="1" x14ac:dyDescent="0.25">
      <c r="B88" s="93"/>
      <c r="C88" s="223" t="s">
        <v>120</v>
      </c>
      <c r="D88" s="32" t="s">
        <v>104</v>
      </c>
      <c r="E88" s="225" t="s">
        <v>116</v>
      </c>
      <c r="F88" s="34" t="s">
        <v>106</v>
      </c>
      <c r="G88" s="136"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233" t="s">
        <v>121</v>
      </c>
      <c r="J88" s="94"/>
    </row>
    <row r="89" spans="1:11" ht="15.75" customHeight="1" thickBot="1" x14ac:dyDescent="0.25">
      <c r="B89" s="103"/>
      <c r="C89" s="133"/>
      <c r="D89" s="39"/>
      <c r="E89" s="118"/>
      <c r="F89" s="40"/>
      <c r="G89" s="118"/>
      <c r="H89" s="40"/>
      <c r="I89" s="118"/>
      <c r="J89" s="104"/>
    </row>
    <row r="90" spans="1:11" ht="14" x14ac:dyDescent="0.2">
      <c r="D90" s="22"/>
      <c r="F90" s="22"/>
      <c r="G90" s="97"/>
      <c r="H90" s="22"/>
      <c r="I90" s="22"/>
    </row>
    <row r="91" spans="1:11" ht="16" x14ac:dyDescent="0.2">
      <c r="B91" s="281" t="s">
        <v>125</v>
      </c>
      <c r="C91" s="281"/>
      <c r="D91" s="281"/>
      <c r="E91" s="281"/>
      <c r="G91" s="97"/>
      <c r="H91" s="22"/>
      <c r="I91" s="299" t="s">
        <v>123</v>
      </c>
      <c r="J91" s="281"/>
    </row>
    <row r="92" spans="1:11" ht="14" x14ac:dyDescent="0.2">
      <c r="G92" s="97"/>
      <c r="H92" s="22"/>
      <c r="I92" s="22"/>
    </row>
    <row r="93" spans="1:11" ht="16" x14ac:dyDescent="0.2">
      <c r="B93" s="280" t="s">
        <v>37</v>
      </c>
      <c r="C93" s="281"/>
      <c r="D93" s="281"/>
      <c r="E93" s="281"/>
      <c r="F93" s="281"/>
      <c r="G93" s="281"/>
      <c r="H93" s="281"/>
      <c r="I93" s="281"/>
      <c r="J93" s="281"/>
    </row>
    <row r="94" spans="1:11" ht="14" x14ac:dyDescent="0.2">
      <c r="D94" s="22"/>
      <c r="F94" s="22"/>
      <c r="G94" s="97"/>
      <c r="H94" s="22"/>
      <c r="I94" s="22"/>
    </row>
    <row r="95" spans="1:11" ht="14" x14ac:dyDescent="0.2">
      <c r="D95" s="22"/>
      <c r="F95" s="22"/>
      <c r="G95" s="97"/>
      <c r="H95" s="22"/>
      <c r="I95" s="22"/>
    </row>
    <row r="96" spans="1:11" ht="14" x14ac:dyDescent="0.2">
      <c r="D96" s="22"/>
      <c r="F96" s="22"/>
      <c r="G96" s="97"/>
      <c r="H96" s="22"/>
      <c r="I96" s="22"/>
    </row>
    <row r="97" spans="4:9" ht="14" x14ac:dyDescent="0.2">
      <c r="D97" s="22"/>
      <c r="F97" s="22"/>
      <c r="G97" s="97"/>
      <c r="H97" s="22"/>
      <c r="I97" s="22"/>
    </row>
  </sheetData>
  <sheetProtection algorithmName="SHA-512" hashValue="TRmwqYGdDYUd9T4gcj0Gmb+jOwfWoR88RYrQv9Y7iuY8Nuo9AaSo/TP9ogm+1utrNNTwXMA5/SOQ9dTljjZlOg==" saltValue="bV8+esUbYceEAHUq1N9klA==" spinCount="100000" sheet="1" objects="1" scenarios="1"/>
  <mergeCells count="22">
    <mergeCell ref="B1:G1"/>
    <mergeCell ref="B3:E3"/>
    <mergeCell ref="I3:J3"/>
    <mergeCell ref="B31:J33"/>
    <mergeCell ref="B38:J39"/>
    <mergeCell ref="B12:E12"/>
    <mergeCell ref="I12:J12"/>
    <mergeCell ref="B4:J10"/>
    <mergeCell ref="B13:J19"/>
    <mergeCell ref="B24:J29"/>
    <mergeCell ref="B91:E91"/>
    <mergeCell ref="I91:J91"/>
    <mergeCell ref="B93:J93"/>
    <mergeCell ref="B41:J43"/>
    <mergeCell ref="B48:J51"/>
    <mergeCell ref="B56:J57"/>
    <mergeCell ref="B62:J64"/>
    <mergeCell ref="B71:J73"/>
    <mergeCell ref="B66:J66"/>
    <mergeCell ref="I68:J68"/>
    <mergeCell ref="B70:E70"/>
    <mergeCell ref="I70:J70"/>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89" customWidth="1"/>
    <col min="2" max="2" width="3" style="89" customWidth="1"/>
    <col min="3" max="3" width="28.83203125" style="89" customWidth="1"/>
    <col min="4" max="4" width="4" style="89" customWidth="1"/>
    <col min="5" max="5" width="18.5" style="89" customWidth="1"/>
    <col min="6" max="6" width="4" style="89" customWidth="1"/>
    <col min="7" max="7" width="35.83203125" style="89" customWidth="1"/>
    <col min="8" max="8" width="4" style="89" customWidth="1"/>
    <col min="9" max="9" width="53.6640625" style="89" customWidth="1"/>
    <col min="10" max="10" width="3" style="89" customWidth="1"/>
    <col min="11" max="11" width="5.5" style="89" customWidth="1"/>
    <col min="12" max="16384" width="12.6640625" style="89"/>
  </cols>
  <sheetData>
    <row r="1" spans="1:11" ht="40" customHeight="1" x14ac:dyDescent="0.2">
      <c r="A1" s="88"/>
      <c r="B1" s="352" t="s">
        <v>126</v>
      </c>
      <c r="C1" s="283"/>
      <c r="D1" s="283"/>
      <c r="E1" s="283"/>
      <c r="F1" s="283"/>
      <c r="G1" s="283"/>
      <c r="H1" s="283"/>
      <c r="I1" s="22"/>
      <c r="J1" s="22"/>
      <c r="K1" s="22"/>
    </row>
    <row r="2" spans="1:11" ht="21.75" customHeight="1" thickBot="1" x14ac:dyDescent="0.25">
      <c r="D2" s="22"/>
      <c r="F2" s="22"/>
      <c r="G2" s="97"/>
      <c r="H2" s="22"/>
      <c r="I2" s="22"/>
    </row>
    <row r="3" spans="1:11" ht="29.25" customHeight="1" x14ac:dyDescent="0.2">
      <c r="B3" s="300" t="s">
        <v>127</v>
      </c>
      <c r="C3" s="301"/>
      <c r="D3" s="301"/>
      <c r="E3" s="301"/>
      <c r="F3" s="24"/>
      <c r="G3" s="127"/>
      <c r="H3" s="24"/>
      <c r="I3" s="302"/>
      <c r="J3" s="303"/>
    </row>
    <row r="4" spans="1:11" ht="14" customHeight="1" x14ac:dyDescent="0.2">
      <c r="B4" s="296" t="s">
        <v>568</v>
      </c>
      <c r="C4" s="288"/>
      <c r="D4" s="288"/>
      <c r="E4" s="288"/>
      <c r="F4" s="288"/>
      <c r="G4" s="288"/>
      <c r="H4" s="288"/>
      <c r="I4" s="288"/>
      <c r="J4" s="297"/>
    </row>
    <row r="5" spans="1:11" ht="15" customHeight="1" x14ac:dyDescent="0.2">
      <c r="B5" s="296"/>
      <c r="C5" s="288"/>
      <c r="D5" s="288"/>
      <c r="E5" s="288"/>
      <c r="F5" s="288"/>
      <c r="G5" s="288"/>
      <c r="H5" s="288"/>
      <c r="I5" s="288"/>
      <c r="J5" s="297"/>
    </row>
    <row r="6" spans="1:11" ht="15" customHeight="1" x14ac:dyDescent="0.2">
      <c r="B6" s="296"/>
      <c r="C6" s="288"/>
      <c r="D6" s="288"/>
      <c r="E6" s="288"/>
      <c r="F6" s="288"/>
      <c r="G6" s="288"/>
      <c r="H6" s="288"/>
      <c r="I6" s="288"/>
      <c r="J6" s="297"/>
    </row>
    <row r="7" spans="1:11" ht="8.25" customHeight="1" x14ac:dyDescent="0.2">
      <c r="B7" s="93"/>
      <c r="D7" s="22"/>
      <c r="F7" s="22"/>
      <c r="G7" s="97"/>
      <c r="H7" s="22"/>
      <c r="I7" s="22"/>
      <c r="J7" s="94"/>
    </row>
    <row r="8" spans="1:11" ht="17" thickBot="1" x14ac:dyDescent="0.25">
      <c r="A8" s="28"/>
      <c r="B8" s="128"/>
      <c r="C8" s="129" t="s">
        <v>100</v>
      </c>
      <c r="D8" s="28"/>
      <c r="E8" s="129" t="s">
        <v>128</v>
      </c>
      <c r="F8" s="28"/>
      <c r="G8" s="130" t="s">
        <v>102</v>
      </c>
      <c r="H8" s="28"/>
      <c r="I8" s="129" t="s">
        <v>18</v>
      </c>
      <c r="J8" s="131"/>
      <c r="K8" s="28"/>
    </row>
    <row r="9" spans="1:11" ht="91" thickBot="1" x14ac:dyDescent="0.25">
      <c r="B9" s="93"/>
      <c r="C9" s="223"/>
      <c r="D9" s="32" t="s">
        <v>104</v>
      </c>
      <c r="E9" s="224" t="s">
        <v>612</v>
      </c>
      <c r="F9" s="34" t="s">
        <v>106</v>
      </c>
      <c r="G9" s="117" t="str">
        <f>SUBSTITUTE(C9,"{{TOPIC}}",E9)</f>
        <v/>
      </c>
      <c r="H9" s="12" t="s">
        <v>20</v>
      </c>
      <c r="I9" s="236" t="s">
        <v>532</v>
      </c>
      <c r="J9" s="94"/>
    </row>
    <row r="10" spans="1:11" ht="15.75" customHeight="1" x14ac:dyDescent="0.2">
      <c r="B10" s="93"/>
      <c r="C10" s="37"/>
      <c r="D10" s="12"/>
      <c r="E10" s="97"/>
      <c r="F10" s="22"/>
      <c r="G10" s="97"/>
      <c r="H10" s="22"/>
      <c r="I10" s="97"/>
      <c r="J10" s="94"/>
    </row>
    <row r="11" spans="1:11" ht="16" collapsed="1" thickBot="1" x14ac:dyDescent="0.25">
      <c r="B11" s="84" t="s">
        <v>42</v>
      </c>
      <c r="C11" s="332" t="s">
        <v>43</v>
      </c>
      <c r="D11" s="283"/>
      <c r="E11" s="283"/>
      <c r="F11" s="283"/>
      <c r="G11" s="283"/>
      <c r="H11" s="283"/>
      <c r="I11" s="283"/>
      <c r="J11" s="284"/>
    </row>
    <row r="12" spans="1:11" ht="15" hidden="1" outlineLevel="1" thickBot="1" x14ac:dyDescent="0.25">
      <c r="B12" s="365" t="s">
        <v>129</v>
      </c>
      <c r="C12" s="283"/>
      <c r="D12" s="283"/>
      <c r="E12" s="283"/>
      <c r="F12" s="283"/>
      <c r="G12" s="283"/>
      <c r="H12" s="283"/>
      <c r="I12" s="283"/>
      <c r="J12" s="284"/>
    </row>
    <row r="13" spans="1:11" ht="33.75" customHeight="1" thickBot="1" x14ac:dyDescent="0.25">
      <c r="B13" s="24"/>
      <c r="C13" s="24"/>
      <c r="D13" s="24"/>
      <c r="E13" s="24"/>
      <c r="F13" s="24"/>
      <c r="G13" s="127"/>
      <c r="H13" s="24"/>
      <c r="I13" s="24"/>
      <c r="J13" s="24"/>
    </row>
    <row r="14" spans="1:11" ht="29.25" customHeight="1" x14ac:dyDescent="0.2">
      <c r="B14" s="300" t="s">
        <v>130</v>
      </c>
      <c r="C14" s="301"/>
      <c r="D14" s="301"/>
      <c r="E14" s="301"/>
      <c r="F14" s="24"/>
      <c r="G14" s="127"/>
      <c r="H14" s="24"/>
      <c r="I14" s="302"/>
      <c r="J14" s="303"/>
    </row>
    <row r="15" spans="1:11" ht="14" customHeight="1" x14ac:dyDescent="0.2">
      <c r="B15" s="296" t="s">
        <v>131</v>
      </c>
      <c r="C15" s="288"/>
      <c r="D15" s="288"/>
      <c r="E15" s="288"/>
      <c r="F15" s="288"/>
      <c r="G15" s="288"/>
      <c r="H15" s="288"/>
      <c r="I15" s="288"/>
      <c r="J15" s="297"/>
    </row>
    <row r="16" spans="1:11" ht="14" customHeight="1" x14ac:dyDescent="0.2">
      <c r="B16" s="296"/>
      <c r="C16" s="288"/>
      <c r="D16" s="288"/>
      <c r="E16" s="288"/>
      <c r="F16" s="288"/>
      <c r="G16" s="288"/>
      <c r="H16" s="288"/>
      <c r="I16" s="288"/>
      <c r="J16" s="297"/>
    </row>
    <row r="17" spans="1:11" ht="14" x14ac:dyDescent="0.2">
      <c r="B17" s="296"/>
      <c r="C17" s="288"/>
      <c r="D17" s="288"/>
      <c r="E17" s="288"/>
      <c r="F17" s="288"/>
      <c r="G17" s="288"/>
      <c r="H17" s="288"/>
      <c r="I17" s="288"/>
      <c r="J17" s="297"/>
    </row>
    <row r="18" spans="1:11" ht="14" x14ac:dyDescent="0.2">
      <c r="B18" s="296"/>
      <c r="C18" s="288"/>
      <c r="D18" s="288"/>
      <c r="E18" s="288"/>
      <c r="F18" s="288"/>
      <c r="G18" s="288"/>
      <c r="H18" s="288"/>
      <c r="I18" s="288"/>
      <c r="J18" s="297"/>
    </row>
    <row r="19" spans="1:11" ht="11.25" customHeight="1" x14ac:dyDescent="0.2">
      <c r="B19" s="93"/>
      <c r="D19" s="22"/>
      <c r="F19" s="22"/>
      <c r="G19" s="97"/>
      <c r="H19" s="22"/>
      <c r="I19" s="22"/>
      <c r="J19" s="94"/>
    </row>
    <row r="20" spans="1:11" ht="14" customHeight="1" x14ac:dyDescent="0.2">
      <c r="B20" s="359" t="s">
        <v>569</v>
      </c>
      <c r="C20" s="360"/>
      <c r="D20" s="360"/>
      <c r="E20" s="360"/>
      <c r="F20" s="360"/>
      <c r="G20" s="360"/>
      <c r="H20" s="360"/>
      <c r="I20" s="360"/>
      <c r="J20" s="361"/>
    </row>
    <row r="21" spans="1:11" ht="14" x14ac:dyDescent="0.2">
      <c r="B21" s="359"/>
      <c r="C21" s="360"/>
      <c r="D21" s="360"/>
      <c r="E21" s="360"/>
      <c r="F21" s="360"/>
      <c r="G21" s="360"/>
      <c r="H21" s="360"/>
      <c r="I21" s="360"/>
      <c r="J21" s="361"/>
    </row>
    <row r="22" spans="1:11" ht="8.25" customHeight="1" x14ac:dyDescent="0.2">
      <c r="B22" s="93"/>
      <c r="D22" s="22"/>
      <c r="F22" s="22"/>
      <c r="G22" s="97"/>
      <c r="H22" s="22"/>
      <c r="I22" s="22"/>
      <c r="J22" s="94"/>
    </row>
    <row r="23" spans="1:11" ht="17" thickBot="1" x14ac:dyDescent="0.25">
      <c r="A23" s="28"/>
      <c r="B23" s="128"/>
      <c r="C23" s="129" t="s">
        <v>100</v>
      </c>
      <c r="D23" s="28"/>
      <c r="E23" s="129" t="s">
        <v>132</v>
      </c>
      <c r="F23" s="28"/>
      <c r="G23" s="130" t="s">
        <v>102</v>
      </c>
      <c r="H23" s="28"/>
      <c r="I23" s="129" t="s">
        <v>18</v>
      </c>
      <c r="J23" s="131"/>
      <c r="K23" s="28"/>
    </row>
    <row r="24" spans="1:11" ht="121" thickBot="1" x14ac:dyDescent="0.25">
      <c r="B24" s="93"/>
      <c r="C24" s="223" t="s">
        <v>613</v>
      </c>
      <c r="D24" s="32" t="s">
        <v>104</v>
      </c>
      <c r="E24" s="224" t="s">
        <v>133</v>
      </c>
      <c r="F24" s="34" t="s">
        <v>106</v>
      </c>
      <c r="G24" s="117" t="str">
        <f>SUBSTITUTE(C24,"{{QUESTION}}",E24)</f>
        <v xml:space="preserve">
Human: Hia its me i have a q about dogs jkaerjv are can brown? jklmvca tx it help me muhch much atx fst fst answer short short tx
Assistant:</v>
      </c>
      <c r="H24" s="12" t="s">
        <v>20</v>
      </c>
      <c r="I24" s="236" t="s">
        <v>614</v>
      </c>
      <c r="J24" s="94"/>
    </row>
    <row r="25" spans="1:11" ht="15.75" customHeight="1" x14ac:dyDescent="0.2">
      <c r="B25" s="93"/>
      <c r="C25" s="37"/>
      <c r="D25" s="12"/>
      <c r="E25" s="97"/>
      <c r="F25" s="22"/>
      <c r="G25" s="97"/>
      <c r="H25" s="22"/>
      <c r="I25" s="97"/>
      <c r="J25" s="94"/>
    </row>
    <row r="26" spans="1:11" ht="16" collapsed="1" thickBot="1" x14ac:dyDescent="0.25">
      <c r="B26" s="84" t="s">
        <v>42</v>
      </c>
      <c r="C26" s="332" t="s">
        <v>43</v>
      </c>
      <c r="D26" s="283"/>
      <c r="E26" s="283"/>
      <c r="F26" s="283"/>
      <c r="G26" s="283"/>
      <c r="H26" s="283"/>
      <c r="I26" s="283"/>
      <c r="J26" s="284"/>
    </row>
    <row r="27" spans="1:11" ht="15" hidden="1" outlineLevel="1" thickBot="1" x14ac:dyDescent="0.25">
      <c r="B27" s="365" t="s">
        <v>134</v>
      </c>
      <c r="C27" s="283"/>
      <c r="D27" s="283"/>
      <c r="E27" s="283"/>
      <c r="F27" s="283"/>
      <c r="G27" s="283"/>
      <c r="H27" s="283"/>
      <c r="I27" s="283"/>
      <c r="J27" s="284"/>
    </row>
    <row r="28" spans="1:11" ht="33.75" customHeight="1" thickBot="1" x14ac:dyDescent="0.25">
      <c r="B28" s="24"/>
      <c r="C28" s="24"/>
      <c r="D28" s="24"/>
      <c r="E28" s="24"/>
      <c r="F28" s="24"/>
      <c r="G28" s="127"/>
      <c r="H28" s="24"/>
      <c r="I28" s="24"/>
      <c r="J28" s="24"/>
    </row>
    <row r="29" spans="1:11" ht="29.25" customHeight="1" x14ac:dyDescent="0.2">
      <c r="B29" s="300" t="s">
        <v>135</v>
      </c>
      <c r="C29" s="301"/>
      <c r="D29" s="301"/>
      <c r="E29" s="301"/>
      <c r="F29" s="24"/>
      <c r="G29" s="127"/>
      <c r="H29" s="24"/>
      <c r="I29" s="302"/>
      <c r="J29" s="303"/>
    </row>
    <row r="30" spans="1:11" ht="14" customHeight="1" x14ac:dyDescent="0.2">
      <c r="B30" s="296" t="s">
        <v>570</v>
      </c>
      <c r="C30" s="288"/>
      <c r="D30" s="288"/>
      <c r="E30" s="288"/>
      <c r="F30" s="288"/>
      <c r="G30" s="288"/>
      <c r="H30" s="288"/>
      <c r="I30" s="288"/>
      <c r="J30" s="297"/>
    </row>
    <row r="31" spans="1:11" ht="14" x14ac:dyDescent="0.2">
      <c r="B31" s="296"/>
      <c r="C31" s="288"/>
      <c r="D31" s="288"/>
      <c r="E31" s="288"/>
      <c r="F31" s="288"/>
      <c r="G31" s="288"/>
      <c r="H31" s="288"/>
      <c r="I31" s="288"/>
      <c r="J31" s="297"/>
    </row>
    <row r="32" spans="1:11" ht="14" x14ac:dyDescent="0.2">
      <c r="B32" s="296"/>
      <c r="C32" s="288"/>
      <c r="D32" s="288"/>
      <c r="E32" s="288"/>
      <c r="F32" s="288"/>
      <c r="G32" s="288"/>
      <c r="H32" s="288"/>
      <c r="I32" s="288"/>
      <c r="J32" s="297"/>
    </row>
    <row r="33" spans="1:11" ht="14" x14ac:dyDescent="0.2">
      <c r="B33" s="296"/>
      <c r="C33" s="288"/>
      <c r="D33" s="288"/>
      <c r="E33" s="288"/>
      <c r="F33" s="288"/>
      <c r="G33" s="288"/>
      <c r="H33" s="288"/>
      <c r="I33" s="288"/>
      <c r="J33" s="297"/>
    </row>
    <row r="34" spans="1:11" ht="8.25" customHeight="1" x14ac:dyDescent="0.2">
      <c r="B34" s="93"/>
      <c r="D34" s="22"/>
      <c r="F34" s="22"/>
      <c r="G34" s="97"/>
      <c r="H34" s="22"/>
      <c r="I34" s="22"/>
      <c r="J34" s="94"/>
    </row>
    <row r="35" spans="1:11" ht="17" thickBot="1" x14ac:dyDescent="0.25">
      <c r="A35" s="28"/>
      <c r="B35" s="128"/>
      <c r="C35" s="129" t="s">
        <v>100</v>
      </c>
      <c r="D35" s="28"/>
      <c r="E35" s="129" t="s">
        <v>132</v>
      </c>
      <c r="F35" s="28"/>
      <c r="G35" s="130" t="s">
        <v>102</v>
      </c>
      <c r="H35" s="28"/>
      <c r="I35" s="129" t="s">
        <v>18</v>
      </c>
      <c r="J35" s="131"/>
      <c r="K35" s="28"/>
    </row>
    <row r="36" spans="1:11" ht="121" thickBot="1" x14ac:dyDescent="0.25">
      <c r="B36" s="93"/>
      <c r="C36" s="223" t="s">
        <v>613</v>
      </c>
      <c r="D36" s="32" t="s">
        <v>104</v>
      </c>
      <c r="E36" s="224" t="s">
        <v>133</v>
      </c>
      <c r="F36" s="34" t="s">
        <v>106</v>
      </c>
      <c r="G36" s="117" t="str">
        <f>SUBSTITUTE(C36,"{{QUESTION}}",E36)</f>
        <v xml:space="preserve">
Human: Hia its me i have a q about dogs jkaerjv are can brown? jklmvca tx it help me muhch much atx fst fst answer short short tx
Assistant:</v>
      </c>
      <c r="H36" s="12" t="s">
        <v>20</v>
      </c>
      <c r="I36" s="236" t="s">
        <v>614</v>
      </c>
      <c r="J36" s="94"/>
    </row>
    <row r="37" spans="1:11" ht="15.75" customHeight="1" x14ac:dyDescent="0.2">
      <c r="B37" s="93"/>
      <c r="C37" s="37"/>
      <c r="D37" s="12"/>
      <c r="E37" s="97"/>
      <c r="F37" s="22"/>
      <c r="G37" s="97"/>
      <c r="H37" s="22"/>
      <c r="I37" s="97"/>
      <c r="J37" s="94"/>
    </row>
    <row r="38" spans="1:11" ht="16" collapsed="1" thickBot="1" x14ac:dyDescent="0.25">
      <c r="B38" s="84" t="s">
        <v>42</v>
      </c>
      <c r="C38" s="332" t="s">
        <v>43</v>
      </c>
      <c r="D38" s="283"/>
      <c r="E38" s="283"/>
      <c r="F38" s="283"/>
      <c r="G38" s="283"/>
      <c r="H38" s="283"/>
      <c r="I38" s="283"/>
      <c r="J38" s="284"/>
    </row>
    <row r="39" spans="1:11" ht="15" hidden="1" outlineLevel="1" thickBot="1" x14ac:dyDescent="0.25">
      <c r="B39" s="365" t="s">
        <v>136</v>
      </c>
      <c r="C39" s="283"/>
      <c r="D39" s="283"/>
      <c r="E39" s="283"/>
      <c r="F39" s="283"/>
      <c r="G39" s="283"/>
      <c r="H39" s="283"/>
      <c r="I39" s="283"/>
      <c r="J39" s="284"/>
    </row>
    <row r="40" spans="1:11" ht="14" x14ac:dyDescent="0.2">
      <c r="B40" s="24"/>
      <c r="C40" s="24"/>
      <c r="D40" s="24"/>
      <c r="E40" s="24"/>
      <c r="F40" s="24"/>
      <c r="G40" s="127"/>
      <c r="H40" s="24"/>
      <c r="I40" s="24"/>
      <c r="J40" s="24"/>
    </row>
    <row r="41" spans="1:11" ht="16" x14ac:dyDescent="0.2">
      <c r="B41" s="281" t="s">
        <v>137</v>
      </c>
      <c r="C41" s="281"/>
      <c r="D41" s="281"/>
      <c r="E41" s="281"/>
      <c r="G41" s="97"/>
      <c r="H41" s="22"/>
      <c r="I41" s="299" t="s">
        <v>138</v>
      </c>
      <c r="J41" s="281"/>
    </row>
    <row r="42" spans="1:11" ht="14" x14ac:dyDescent="0.2">
      <c r="G42" s="97"/>
      <c r="H42" s="22"/>
      <c r="I42" s="22"/>
    </row>
    <row r="43" spans="1:11" ht="16" x14ac:dyDescent="0.2">
      <c r="B43" s="280" t="s">
        <v>37</v>
      </c>
      <c r="C43" s="281"/>
      <c r="D43" s="281"/>
      <c r="E43" s="281"/>
      <c r="F43" s="281"/>
      <c r="G43" s="281"/>
      <c r="H43" s="281"/>
      <c r="I43" s="281"/>
      <c r="J43" s="281"/>
    </row>
    <row r="44" spans="1:11" ht="14" x14ac:dyDescent="0.2">
      <c r="D44" s="22"/>
      <c r="F44" s="22"/>
      <c r="G44" s="97"/>
      <c r="H44" s="22"/>
      <c r="I44" s="22"/>
    </row>
    <row r="45" spans="1:11" ht="14" x14ac:dyDescent="0.2">
      <c r="D45" s="22"/>
      <c r="F45" s="22"/>
      <c r="G45" s="97"/>
      <c r="H45" s="22"/>
      <c r="I45" s="22"/>
    </row>
    <row r="46" spans="1:11" ht="14" x14ac:dyDescent="0.2">
      <c r="D46" s="22"/>
      <c r="F46" s="22"/>
      <c r="G46" s="97"/>
      <c r="H46" s="22"/>
      <c r="I46" s="22"/>
    </row>
    <row r="47" spans="1:11" ht="14" x14ac:dyDescent="0.2">
      <c r="D47" s="22"/>
      <c r="F47" s="22"/>
      <c r="G47" s="97"/>
      <c r="H47" s="22"/>
      <c r="I47" s="22"/>
    </row>
  </sheetData>
  <sheetProtection algorithmName="SHA-512" hashValue="MiyvFJPguVjuot8M6VvBDuJmC7PqZzI65KFDnHBStYf4K0tOaK3/AfEwuf/qf0CMSPg050xrHaMQFuQbqQyoEQ==" saltValue="AMqPeligZdob9FOxsef/Jw==" spinCount="100000" sheet="1" objects="1" scenarios="1"/>
  <mergeCells count="20">
    <mergeCell ref="C26:J26"/>
    <mergeCell ref="B1:H1"/>
    <mergeCell ref="B3:E3"/>
    <mergeCell ref="I3:J3"/>
    <mergeCell ref="C11:J11"/>
    <mergeCell ref="B4:J6"/>
    <mergeCell ref="B15:J18"/>
    <mergeCell ref="B20:J21"/>
    <mergeCell ref="B12:J12"/>
    <mergeCell ref="B14:E14"/>
    <mergeCell ref="I14:J14"/>
    <mergeCell ref="B41:E41"/>
    <mergeCell ref="I41:J41"/>
    <mergeCell ref="B43:J43"/>
    <mergeCell ref="B27:J27"/>
    <mergeCell ref="B29:E29"/>
    <mergeCell ref="I29:J29"/>
    <mergeCell ref="C38:J38"/>
    <mergeCell ref="B39:J39"/>
    <mergeCell ref="B30:J33"/>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NOT(ISERROR(SEARCH("Yes",I24)))</formula>
    </cfRule>
  </conditionalFormatting>
  <conditionalFormatting sqref="I36">
    <cfRule type="containsText" dxfId="18" priority="9" operator="containsText" text="Yes">
      <formula>NOT(ISERROR(SEARCH("Yes",I36)))</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28.83203125" style="89" customWidth="1"/>
    <col min="4" max="4" width="4" style="89" customWidth="1"/>
    <col min="5" max="5" width="19.6640625" style="89" customWidth="1"/>
    <col min="6" max="6" width="4" style="89" customWidth="1"/>
    <col min="7" max="7" width="35" style="89" customWidth="1"/>
    <col min="8" max="8" width="4" style="89" customWidth="1"/>
    <col min="9" max="9" width="53.83203125" style="89" customWidth="1"/>
    <col min="10" max="10" width="3" style="89" customWidth="1"/>
    <col min="11" max="11" width="5.5" style="89" customWidth="1"/>
    <col min="12" max="16384" width="12.6640625" style="89"/>
  </cols>
  <sheetData>
    <row r="1" spans="1:11" ht="40" customHeight="1" x14ac:dyDescent="0.2">
      <c r="A1" s="88"/>
      <c r="B1" s="352" t="s">
        <v>139</v>
      </c>
      <c r="C1" s="283"/>
      <c r="D1" s="283"/>
      <c r="E1" s="283"/>
      <c r="F1" s="283"/>
      <c r="G1" s="283"/>
      <c r="H1" s="22"/>
      <c r="I1" s="22"/>
      <c r="J1" s="22"/>
      <c r="K1" s="22"/>
    </row>
    <row r="2" spans="1:11" ht="21.75" customHeight="1" thickBot="1" x14ac:dyDescent="0.25">
      <c r="D2" s="22"/>
      <c r="F2" s="22"/>
      <c r="G2" s="97"/>
      <c r="H2" s="22"/>
      <c r="I2" s="22"/>
    </row>
    <row r="3" spans="1:11" ht="29.25" customHeight="1" x14ac:dyDescent="0.2">
      <c r="A3" s="22"/>
      <c r="B3" s="376" t="s">
        <v>12</v>
      </c>
      <c r="C3" s="377"/>
      <c r="D3" s="377"/>
      <c r="E3" s="377"/>
      <c r="F3" s="137"/>
      <c r="G3" s="138"/>
      <c r="H3" s="137"/>
      <c r="I3" s="378"/>
      <c r="J3" s="379"/>
      <c r="K3" s="22"/>
    </row>
    <row r="4" spans="1:11" ht="15" customHeight="1" x14ac:dyDescent="0.2">
      <c r="B4" s="390" t="s">
        <v>140</v>
      </c>
      <c r="C4" s="288"/>
      <c r="D4" s="288"/>
      <c r="E4" s="288"/>
      <c r="F4" s="288"/>
      <c r="G4" s="288"/>
      <c r="H4" s="288"/>
      <c r="I4" s="288"/>
      <c r="J4" s="391"/>
    </row>
    <row r="5" spans="1:11" ht="15" customHeight="1" x14ac:dyDescent="0.2">
      <c r="B5" s="390"/>
      <c r="C5" s="288"/>
      <c r="D5" s="288"/>
      <c r="E5" s="288"/>
      <c r="F5" s="288"/>
      <c r="G5" s="288"/>
      <c r="H5" s="288"/>
      <c r="I5" s="288"/>
      <c r="J5" s="391"/>
    </row>
    <row r="6" spans="1:11" ht="15" customHeight="1" x14ac:dyDescent="0.2">
      <c r="B6" s="390"/>
      <c r="C6" s="288"/>
      <c r="D6" s="288"/>
      <c r="E6" s="288"/>
      <c r="F6" s="288"/>
      <c r="G6" s="288"/>
      <c r="H6" s="288"/>
      <c r="I6" s="288"/>
      <c r="J6" s="391"/>
    </row>
    <row r="7" spans="1:11" ht="15" customHeight="1" thickBot="1" x14ac:dyDescent="0.25">
      <c r="B7" s="392"/>
      <c r="C7" s="393"/>
      <c r="D7" s="393"/>
      <c r="E7" s="393"/>
      <c r="F7" s="393"/>
      <c r="G7" s="393"/>
      <c r="H7" s="393"/>
      <c r="I7" s="393"/>
      <c r="J7" s="394"/>
    </row>
    <row r="8" spans="1:11" ht="33.75" customHeight="1" thickBot="1" x14ac:dyDescent="0.25">
      <c r="D8" s="22"/>
      <c r="F8" s="22"/>
      <c r="G8" s="97"/>
      <c r="H8" s="22"/>
      <c r="I8" s="22"/>
    </row>
    <row r="9" spans="1:11" ht="29.25" customHeight="1" x14ac:dyDescent="0.2">
      <c r="B9" s="300" t="s">
        <v>13</v>
      </c>
      <c r="C9" s="301"/>
      <c r="D9" s="301"/>
      <c r="E9" s="301"/>
      <c r="F9" s="24"/>
      <c r="G9" s="127"/>
      <c r="H9" s="24"/>
      <c r="I9" s="302"/>
      <c r="J9" s="303"/>
    </row>
    <row r="10" spans="1:11" ht="14" customHeight="1" x14ac:dyDescent="0.2">
      <c r="B10" s="296" t="s">
        <v>141</v>
      </c>
      <c r="C10" s="288"/>
      <c r="D10" s="288"/>
      <c r="E10" s="288"/>
      <c r="F10" s="288"/>
      <c r="G10" s="288"/>
      <c r="H10" s="288"/>
      <c r="I10" s="288"/>
      <c r="J10" s="297"/>
    </row>
    <row r="11" spans="1:11" ht="14" x14ac:dyDescent="0.2">
      <c r="B11" s="296"/>
      <c r="C11" s="288"/>
      <c r="D11" s="288"/>
      <c r="E11" s="288"/>
      <c r="F11" s="288"/>
      <c r="G11" s="288"/>
      <c r="H11" s="288"/>
      <c r="I11" s="288"/>
      <c r="J11" s="297"/>
    </row>
    <row r="12" spans="1:11" ht="8.25" customHeight="1" x14ac:dyDescent="0.2">
      <c r="B12" s="93"/>
      <c r="D12" s="22"/>
      <c r="F12" s="22"/>
      <c r="G12" s="97"/>
      <c r="H12" s="22"/>
      <c r="I12" s="22"/>
      <c r="J12" s="94"/>
    </row>
    <row r="13" spans="1:11" ht="17" thickBot="1" x14ac:dyDescent="0.25">
      <c r="A13" s="28"/>
      <c r="B13" s="128"/>
      <c r="C13" s="129" t="s">
        <v>100</v>
      </c>
      <c r="D13" s="28"/>
      <c r="E13" s="129" t="s">
        <v>101</v>
      </c>
      <c r="F13" s="28"/>
      <c r="G13" s="130" t="s">
        <v>102</v>
      </c>
      <c r="H13" s="28"/>
      <c r="I13" s="129" t="s">
        <v>18</v>
      </c>
      <c r="J13" s="131"/>
      <c r="K13" s="28"/>
    </row>
    <row r="14" spans="1:11" ht="91" thickBot="1" x14ac:dyDescent="0.25">
      <c r="B14" s="93"/>
      <c r="C14" s="143" t="s">
        <v>142</v>
      </c>
      <c r="D14" s="32" t="s">
        <v>104</v>
      </c>
      <c r="E14" s="142" t="s">
        <v>143</v>
      </c>
      <c r="F14" s="34" t="s">
        <v>106</v>
      </c>
      <c r="G14" s="117" t="str">
        <f>SUBSTITUTE(C14,"{{ANIMAL}}",E14)</f>
        <v xml:space="preserve">
Human: Please write a haiku about Rabbit. Put it in &lt;haiku&gt; tags.
Assistant:</v>
      </c>
      <c r="H14" s="12" t="s">
        <v>20</v>
      </c>
      <c r="I14" s="96" t="s">
        <v>144</v>
      </c>
      <c r="J14" s="94"/>
    </row>
    <row r="15" spans="1:11" ht="15.75" customHeight="1" x14ac:dyDescent="0.2">
      <c r="B15" s="93"/>
      <c r="C15" s="37"/>
      <c r="D15" s="12"/>
      <c r="E15" s="97"/>
      <c r="F15" s="22"/>
      <c r="G15" s="97"/>
      <c r="H15" s="22"/>
      <c r="I15" s="97"/>
      <c r="J15" s="94"/>
    </row>
    <row r="16" spans="1:11" ht="14" customHeight="1" x14ac:dyDescent="0.2">
      <c r="B16" s="296" t="s">
        <v>145</v>
      </c>
      <c r="C16" s="288"/>
      <c r="D16" s="288"/>
      <c r="E16" s="288"/>
      <c r="F16" s="288"/>
      <c r="G16" s="288"/>
      <c r="H16" s="288"/>
      <c r="I16" s="288"/>
      <c r="J16" s="297"/>
    </row>
    <row r="17" spans="1:11" ht="14" x14ac:dyDescent="0.2">
      <c r="B17" s="296"/>
      <c r="C17" s="288"/>
      <c r="D17" s="288"/>
      <c r="E17" s="288"/>
      <c r="F17" s="288"/>
      <c r="G17" s="288"/>
      <c r="H17" s="288"/>
      <c r="I17" s="288"/>
      <c r="J17" s="297"/>
    </row>
    <row r="18" spans="1:11" ht="11.25" customHeight="1" x14ac:dyDescent="0.2">
      <c r="B18" s="90"/>
      <c r="C18" s="37"/>
      <c r="D18" s="37"/>
      <c r="E18" s="37"/>
      <c r="F18" s="37"/>
      <c r="G18" s="37"/>
      <c r="H18" s="37"/>
      <c r="I18" s="37"/>
      <c r="J18" s="91"/>
    </row>
    <row r="19" spans="1:11" ht="14" customHeight="1" x14ac:dyDescent="0.2">
      <c r="B19" s="296" t="s">
        <v>146</v>
      </c>
      <c r="C19" s="288"/>
      <c r="D19" s="288"/>
      <c r="E19" s="288"/>
      <c r="F19" s="288"/>
      <c r="G19" s="288"/>
      <c r="H19" s="288"/>
      <c r="I19" s="288"/>
      <c r="J19" s="297"/>
    </row>
    <row r="20" spans="1:11" ht="14" x14ac:dyDescent="0.2">
      <c r="B20" s="296"/>
      <c r="C20" s="288"/>
      <c r="D20" s="288"/>
      <c r="E20" s="288"/>
      <c r="F20" s="288"/>
      <c r="G20" s="288"/>
      <c r="H20" s="288"/>
      <c r="I20" s="288"/>
      <c r="J20" s="297"/>
    </row>
    <row r="21" spans="1:11" ht="14" x14ac:dyDescent="0.2">
      <c r="B21" s="296"/>
      <c r="C21" s="288"/>
      <c r="D21" s="288"/>
      <c r="E21" s="288"/>
      <c r="F21" s="288"/>
      <c r="G21" s="288"/>
      <c r="H21" s="288"/>
      <c r="I21" s="288"/>
      <c r="J21" s="297"/>
    </row>
    <row r="22" spans="1:11" ht="14" x14ac:dyDescent="0.2">
      <c r="B22" s="296"/>
      <c r="C22" s="288"/>
      <c r="D22" s="288"/>
      <c r="E22" s="288"/>
      <c r="F22" s="288"/>
      <c r="G22" s="288"/>
      <c r="H22" s="288"/>
      <c r="I22" s="288"/>
      <c r="J22" s="297"/>
    </row>
    <row r="23" spans="1:11" ht="8.25" customHeight="1" x14ac:dyDescent="0.2">
      <c r="B23" s="93"/>
      <c r="D23" s="22"/>
      <c r="F23" s="22"/>
      <c r="G23" s="97"/>
      <c r="H23" s="22"/>
      <c r="I23" s="22"/>
      <c r="J23" s="94"/>
    </row>
    <row r="24" spans="1:11" ht="17" thickBot="1" x14ac:dyDescent="0.25">
      <c r="A24" s="28"/>
      <c r="B24" s="128"/>
      <c r="C24" s="129" t="s">
        <v>100</v>
      </c>
      <c r="D24" s="28"/>
      <c r="E24" s="129" t="s">
        <v>101</v>
      </c>
      <c r="F24" s="28"/>
      <c r="G24" s="130" t="s">
        <v>102</v>
      </c>
      <c r="H24" s="28"/>
      <c r="I24" s="129" t="s">
        <v>18</v>
      </c>
      <c r="J24" s="131"/>
      <c r="K24" s="28"/>
    </row>
    <row r="25" spans="1:11" ht="91" thickBot="1" x14ac:dyDescent="0.25">
      <c r="B25" s="93"/>
      <c r="C25" s="143" t="s">
        <v>147</v>
      </c>
      <c r="D25" s="32" t="s">
        <v>104</v>
      </c>
      <c r="E25" s="142" t="s">
        <v>148</v>
      </c>
      <c r="F25" s="34" t="s">
        <v>106</v>
      </c>
      <c r="G25" s="117" t="str">
        <f>SUBSTITUTE(C25,"{{ANIMAL}}",E25)</f>
        <v xml:space="preserve">
Human: Please write a haiku about Cat. Put it in &lt;haiku&gt; tags.
Assistant: &lt;haiku&gt;</v>
      </c>
      <c r="H25" s="12" t="s">
        <v>20</v>
      </c>
      <c r="I25" s="96" t="s">
        <v>149</v>
      </c>
      <c r="J25" s="94"/>
    </row>
    <row r="26" spans="1:11" ht="15.75" customHeight="1" x14ac:dyDescent="0.2">
      <c r="B26" s="90"/>
      <c r="C26" s="37"/>
      <c r="D26" s="37"/>
      <c r="E26" s="37"/>
      <c r="F26" s="37"/>
      <c r="G26" s="37"/>
      <c r="H26" s="37"/>
      <c r="I26" s="37"/>
      <c r="J26" s="91"/>
    </row>
    <row r="27" spans="1:11" ht="15.75" customHeight="1" x14ac:dyDescent="0.2">
      <c r="B27" s="344" t="s">
        <v>150</v>
      </c>
      <c r="C27" s="283"/>
      <c r="D27" s="283"/>
      <c r="E27" s="283"/>
      <c r="F27" s="283"/>
      <c r="G27" s="283"/>
      <c r="H27" s="283"/>
      <c r="I27" s="283"/>
      <c r="J27" s="284"/>
    </row>
    <row r="28" spans="1:11" ht="15.75" customHeight="1" x14ac:dyDescent="0.2">
      <c r="B28" s="93"/>
      <c r="D28" s="22"/>
      <c r="F28" s="22"/>
      <c r="G28" s="97"/>
      <c r="H28" s="22"/>
      <c r="I28" s="22"/>
      <c r="J28" s="94"/>
    </row>
    <row r="29" spans="1:11" ht="17" thickBot="1" x14ac:dyDescent="0.25">
      <c r="B29" s="128"/>
      <c r="C29" s="129" t="s">
        <v>100</v>
      </c>
      <c r="D29" s="28"/>
      <c r="E29" s="129" t="s">
        <v>101</v>
      </c>
      <c r="F29" s="28"/>
      <c r="G29" s="130" t="s">
        <v>102</v>
      </c>
      <c r="H29" s="28"/>
      <c r="I29" s="129" t="s">
        <v>18</v>
      </c>
      <c r="J29" s="131"/>
    </row>
    <row r="30" spans="1:11" ht="121" thickBot="1" x14ac:dyDescent="0.25">
      <c r="B30" s="93"/>
      <c r="C30" s="143" t="s">
        <v>151</v>
      </c>
      <c r="D30" s="32" t="s">
        <v>104</v>
      </c>
      <c r="E30" s="142" t="s">
        <v>148</v>
      </c>
      <c r="F30" s="34" t="s">
        <v>106</v>
      </c>
      <c r="G30" s="117" t="str">
        <f>SUBSTITUTE(C30,"{{ANIMAL}}",E30)</f>
        <v xml:space="preserve">
Human: Please write a haiku about Cat. Use JSON format with the keys as "first_line", "second_line", and "third_line".
Assistant:</v>
      </c>
      <c r="H30" s="12" t="s">
        <v>20</v>
      </c>
      <c r="I30" s="96" t="s">
        <v>152</v>
      </c>
      <c r="J30" s="94"/>
    </row>
    <row r="31" spans="1:11" ht="20.25" customHeight="1" x14ac:dyDescent="0.2">
      <c r="B31" s="93"/>
      <c r="C31" s="97"/>
      <c r="D31" s="32"/>
      <c r="E31" s="97"/>
      <c r="F31" s="34"/>
      <c r="G31" s="97"/>
      <c r="H31" s="12"/>
      <c r="I31" s="97"/>
      <c r="J31" s="94"/>
    </row>
    <row r="32" spans="1:11" ht="14" x14ac:dyDescent="0.2">
      <c r="B32" s="344" t="s">
        <v>153</v>
      </c>
      <c r="C32" s="283"/>
      <c r="D32" s="283"/>
      <c r="E32" s="283"/>
      <c r="F32" s="283"/>
      <c r="G32" s="283"/>
      <c r="H32" s="283"/>
      <c r="I32" s="283"/>
      <c r="J32" s="284"/>
    </row>
    <row r="33" spans="1:11" ht="8.25" customHeight="1" x14ac:dyDescent="0.2">
      <c r="B33" s="93"/>
      <c r="D33" s="22"/>
      <c r="F33" s="22"/>
      <c r="G33" s="97"/>
      <c r="H33" s="22"/>
      <c r="I33" s="22"/>
      <c r="J33" s="94"/>
    </row>
    <row r="34" spans="1:11" ht="17" thickBot="1" x14ac:dyDescent="0.25">
      <c r="A34" s="28"/>
      <c r="B34" s="128"/>
      <c r="C34" s="129" t="s">
        <v>100</v>
      </c>
      <c r="D34" s="28"/>
      <c r="E34" s="129" t="s">
        <v>108</v>
      </c>
      <c r="F34" s="28"/>
      <c r="G34" s="130" t="s">
        <v>102</v>
      </c>
      <c r="H34" s="28"/>
      <c r="I34" s="129" t="s">
        <v>18</v>
      </c>
      <c r="J34" s="131"/>
      <c r="K34" s="28"/>
    </row>
    <row r="35" spans="1:11" ht="86.25" customHeight="1" x14ac:dyDescent="0.2">
      <c r="B35" s="93"/>
      <c r="C35" s="380" t="s">
        <v>154</v>
      </c>
      <c r="D35" s="32" t="s">
        <v>104</v>
      </c>
      <c r="E35" s="142" t="s">
        <v>155</v>
      </c>
      <c r="F35" s="383" t="s">
        <v>106</v>
      </c>
      <c r="G35" s="370"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386" t="s">
        <v>20</v>
      </c>
      <c r="I35" s="387" t="s">
        <v>156</v>
      </c>
      <c r="J35" s="94"/>
    </row>
    <row r="36" spans="1:11" ht="8.25" customHeight="1" x14ac:dyDescent="0.2">
      <c r="A36" s="22"/>
      <c r="B36" s="93"/>
      <c r="C36" s="381"/>
      <c r="D36" s="22"/>
      <c r="F36" s="383"/>
      <c r="G36" s="384"/>
      <c r="H36" s="386"/>
      <c r="I36" s="388"/>
      <c r="J36" s="94"/>
    </row>
    <row r="37" spans="1:11" ht="15" x14ac:dyDescent="0.2">
      <c r="A37" s="28"/>
      <c r="B37" s="128"/>
      <c r="C37" s="381"/>
      <c r="D37" s="28"/>
      <c r="E37" s="129" t="s">
        <v>157</v>
      </c>
      <c r="F37" s="383"/>
      <c r="G37" s="384"/>
      <c r="H37" s="386"/>
      <c r="I37" s="388"/>
      <c r="J37" s="131"/>
      <c r="K37" s="28"/>
    </row>
    <row r="38" spans="1:11" ht="88.5" customHeight="1" thickBot="1" x14ac:dyDescent="0.25">
      <c r="B38" s="93"/>
      <c r="C38" s="382"/>
      <c r="D38" s="32" t="s">
        <v>104</v>
      </c>
      <c r="E38" s="142" t="s">
        <v>158</v>
      </c>
      <c r="F38" s="383"/>
      <c r="G38" s="385"/>
      <c r="H38" s="386"/>
      <c r="I38" s="389"/>
      <c r="J38" s="94"/>
    </row>
    <row r="39" spans="1:11" ht="15.75" customHeight="1" x14ac:dyDescent="0.2">
      <c r="B39" s="93"/>
      <c r="D39" s="22"/>
      <c r="F39" s="22"/>
      <c r="G39" s="97"/>
      <c r="H39" s="22"/>
      <c r="I39" s="22"/>
      <c r="J39" s="94"/>
    </row>
    <row r="40" spans="1:11" ht="15.75" customHeight="1" collapsed="1" x14ac:dyDescent="0.2">
      <c r="B40" s="375" t="s">
        <v>159</v>
      </c>
      <c r="C40" s="283"/>
      <c r="D40" s="283"/>
      <c r="E40" s="283"/>
      <c r="F40" s="283"/>
      <c r="G40" s="283"/>
      <c r="H40" s="283"/>
      <c r="I40" s="283"/>
      <c r="J40" s="284"/>
    </row>
    <row r="41" spans="1:11" ht="14" hidden="1" outlineLevel="1" x14ac:dyDescent="0.2">
      <c r="B41" s="365" t="s">
        <v>160</v>
      </c>
      <c r="C41" s="283"/>
      <c r="D41" s="283"/>
      <c r="E41" s="283"/>
      <c r="F41" s="283"/>
      <c r="G41" s="283"/>
      <c r="H41" s="283"/>
      <c r="I41" s="283"/>
      <c r="J41" s="284"/>
    </row>
    <row r="42" spans="1:11" ht="11.25" customHeight="1" x14ac:dyDescent="0.2">
      <c r="B42" s="90"/>
      <c r="C42" s="37"/>
      <c r="D42" s="37"/>
      <c r="E42" s="37"/>
      <c r="F42" s="37"/>
      <c r="G42" s="37"/>
      <c r="H42" s="37"/>
      <c r="I42" s="37"/>
      <c r="J42" s="91"/>
    </row>
    <row r="43" spans="1:11" ht="15.75" customHeight="1" thickBot="1" x14ac:dyDescent="0.25">
      <c r="B43" s="345" t="s">
        <v>33</v>
      </c>
      <c r="C43" s="340"/>
      <c r="D43" s="340"/>
      <c r="E43" s="340"/>
      <c r="F43" s="340"/>
      <c r="G43" s="340"/>
      <c r="H43" s="340"/>
      <c r="I43" s="340"/>
      <c r="J43" s="341"/>
    </row>
    <row r="44" spans="1:11" ht="15.75" customHeight="1" x14ac:dyDescent="0.2">
      <c r="H44" s="38"/>
      <c r="I44" s="38"/>
      <c r="J44" s="38"/>
    </row>
    <row r="45" spans="1:11" ht="15.75" customHeight="1" x14ac:dyDescent="0.2">
      <c r="H45" s="22"/>
      <c r="I45" s="299" t="s">
        <v>161</v>
      </c>
      <c r="J45" s="281"/>
    </row>
    <row r="46" spans="1:11" ht="33.75" customHeight="1" thickBot="1" x14ac:dyDescent="0.25">
      <c r="H46" s="22"/>
      <c r="I46" s="22"/>
    </row>
    <row r="47" spans="1:11" ht="29.25" customHeight="1" x14ac:dyDescent="0.2">
      <c r="B47" s="300" t="s">
        <v>14</v>
      </c>
      <c r="C47" s="301"/>
      <c r="D47" s="301"/>
      <c r="E47" s="301"/>
      <c r="F47" s="24"/>
      <c r="G47" s="127"/>
      <c r="H47" s="24"/>
      <c r="I47" s="302"/>
      <c r="J47" s="303"/>
    </row>
    <row r="48" spans="1:11" ht="14" customHeight="1" x14ac:dyDescent="0.2">
      <c r="B48" s="296" t="s">
        <v>528</v>
      </c>
      <c r="C48" s="288"/>
      <c r="D48" s="288"/>
      <c r="E48" s="288"/>
      <c r="F48" s="288"/>
      <c r="G48" s="288"/>
      <c r="H48" s="288"/>
      <c r="I48" s="288"/>
      <c r="J48" s="297"/>
    </row>
    <row r="49" spans="1:11" ht="14" x14ac:dyDescent="0.2">
      <c r="B49" s="296"/>
      <c r="C49" s="288"/>
      <c r="D49" s="288"/>
      <c r="E49" s="288"/>
      <c r="F49" s="288"/>
      <c r="G49" s="288"/>
      <c r="H49" s="288"/>
      <c r="I49" s="288"/>
      <c r="J49" s="297"/>
    </row>
    <row r="50" spans="1:11" ht="14" x14ac:dyDescent="0.2">
      <c r="B50" s="296"/>
      <c r="C50" s="288"/>
      <c r="D50" s="288"/>
      <c r="E50" s="288"/>
      <c r="F50" s="288"/>
      <c r="G50" s="288"/>
      <c r="H50" s="288"/>
      <c r="I50" s="288"/>
      <c r="J50" s="297"/>
    </row>
    <row r="51" spans="1:11" ht="8.25" customHeight="1" x14ac:dyDescent="0.2">
      <c r="B51" s="93"/>
      <c r="D51" s="22"/>
      <c r="F51" s="22"/>
      <c r="G51" s="97"/>
      <c r="H51" s="22"/>
      <c r="I51" s="22"/>
      <c r="J51" s="94"/>
    </row>
    <row r="52" spans="1:11" ht="17" thickBot="1" x14ac:dyDescent="0.25">
      <c r="A52" s="28"/>
      <c r="B52" s="128"/>
      <c r="C52" s="129" t="s">
        <v>100</v>
      </c>
      <c r="D52" s="28"/>
      <c r="E52" s="129" t="s">
        <v>101</v>
      </c>
      <c r="F52" s="28"/>
      <c r="G52" s="130" t="s">
        <v>102</v>
      </c>
      <c r="H52" s="28"/>
      <c r="I52" s="129" t="s">
        <v>18</v>
      </c>
      <c r="J52" s="131"/>
      <c r="K52" s="28"/>
    </row>
    <row r="53" spans="1:11" ht="91" thickBot="1" x14ac:dyDescent="0.25">
      <c r="B53" s="93"/>
      <c r="C53" s="223" t="s">
        <v>142</v>
      </c>
      <c r="D53" s="32" t="s">
        <v>104</v>
      </c>
      <c r="E53" s="224" t="s">
        <v>143</v>
      </c>
      <c r="F53" s="34" t="s">
        <v>106</v>
      </c>
      <c r="G53" s="117" t="str">
        <f>SUBSTITUTE(C53,"{{ANIMAL}}",E53)</f>
        <v xml:space="preserve">
Human: Please write a haiku about Rabbit. Put it in &lt;haiku&gt; tags.
Assistant:</v>
      </c>
      <c r="H53" s="12" t="s">
        <v>20</v>
      </c>
      <c r="I53" s="232" t="s">
        <v>144</v>
      </c>
      <c r="J53" s="94"/>
    </row>
    <row r="54" spans="1:11" ht="8.25" customHeight="1" x14ac:dyDescent="0.2">
      <c r="B54" s="93"/>
      <c r="D54" s="22"/>
      <c r="F54" s="22"/>
      <c r="G54" s="97"/>
      <c r="H54" s="22"/>
      <c r="I54" s="22"/>
      <c r="J54" s="94"/>
    </row>
    <row r="55" spans="1:11" ht="17" thickBot="1" x14ac:dyDescent="0.25">
      <c r="A55" s="28"/>
      <c r="B55" s="128"/>
      <c r="C55" s="129" t="s">
        <v>100</v>
      </c>
      <c r="D55" s="28"/>
      <c r="E55" s="129" t="s">
        <v>101</v>
      </c>
      <c r="F55" s="28"/>
      <c r="G55" s="130" t="s">
        <v>102</v>
      </c>
      <c r="H55" s="28"/>
      <c r="I55" s="129" t="s">
        <v>18</v>
      </c>
      <c r="J55" s="131"/>
      <c r="K55" s="28"/>
    </row>
    <row r="56" spans="1:11" ht="91" thickBot="1" x14ac:dyDescent="0.25">
      <c r="B56" s="93"/>
      <c r="C56" s="223" t="s">
        <v>147</v>
      </c>
      <c r="D56" s="32" t="s">
        <v>104</v>
      </c>
      <c r="E56" s="224" t="s">
        <v>148</v>
      </c>
      <c r="F56" s="34" t="s">
        <v>106</v>
      </c>
      <c r="G56" s="117" t="str">
        <f>SUBSTITUTE(C56,"{{ANIMAL}}",E56)</f>
        <v xml:space="preserve">
Human: Please write a haiku about Cat. Put it in &lt;haiku&gt; tags.
Assistant: &lt;haiku&gt;</v>
      </c>
      <c r="H56" s="12" t="s">
        <v>20</v>
      </c>
      <c r="I56" s="232" t="s">
        <v>149</v>
      </c>
      <c r="J56" s="94"/>
    </row>
    <row r="57" spans="1:11" ht="8.25" customHeight="1" x14ac:dyDescent="0.2">
      <c r="B57" s="93"/>
      <c r="D57" s="22"/>
      <c r="F57" s="22"/>
      <c r="G57" s="97"/>
      <c r="H57" s="22"/>
      <c r="I57" s="22"/>
      <c r="J57" s="94"/>
    </row>
    <row r="58" spans="1:11" ht="17" thickBot="1" x14ac:dyDescent="0.25">
      <c r="B58" s="128"/>
      <c r="C58" s="129" t="s">
        <v>100</v>
      </c>
      <c r="D58" s="28"/>
      <c r="E58" s="129" t="s">
        <v>101</v>
      </c>
      <c r="F58" s="28"/>
      <c r="G58" s="130" t="s">
        <v>102</v>
      </c>
      <c r="H58" s="28"/>
      <c r="I58" s="129" t="s">
        <v>18</v>
      </c>
      <c r="J58" s="131"/>
    </row>
    <row r="59" spans="1:11" ht="121" thickBot="1" x14ac:dyDescent="0.25">
      <c r="B59" s="93"/>
      <c r="C59" s="223" t="s">
        <v>151</v>
      </c>
      <c r="D59" s="32" t="s">
        <v>104</v>
      </c>
      <c r="E59" s="224" t="s">
        <v>148</v>
      </c>
      <c r="F59" s="34" t="s">
        <v>106</v>
      </c>
      <c r="G59" s="117" t="str">
        <f>SUBSTITUTE(C59,"{{ANIMAL}}",E59)</f>
        <v xml:space="preserve">
Human: Please write a haiku about Cat. Use JSON format with the keys as "first_line", "second_line", and "third_line".
Assistant:</v>
      </c>
      <c r="H59" s="12" t="s">
        <v>20</v>
      </c>
      <c r="I59" s="232" t="s">
        <v>152</v>
      </c>
      <c r="J59" s="94"/>
    </row>
    <row r="60" spans="1:11" ht="8.25" customHeight="1" x14ac:dyDescent="0.2">
      <c r="B60" s="93"/>
      <c r="D60" s="22"/>
      <c r="F60" s="22"/>
      <c r="G60" s="97"/>
      <c r="H60" s="22"/>
      <c r="I60" s="22"/>
      <c r="J60" s="94"/>
    </row>
    <row r="61" spans="1:11" ht="15.75" customHeight="1" thickBot="1" x14ac:dyDescent="0.25">
      <c r="B61" s="93"/>
      <c r="C61" s="129" t="s">
        <v>100</v>
      </c>
      <c r="D61" s="32"/>
      <c r="E61" s="130" t="s">
        <v>108</v>
      </c>
      <c r="F61" s="34"/>
      <c r="G61" s="130" t="s">
        <v>102</v>
      </c>
      <c r="H61" s="12"/>
      <c r="I61" s="129" t="s">
        <v>18</v>
      </c>
      <c r="J61" s="94"/>
    </row>
    <row r="62" spans="1:11" ht="86.25" customHeight="1" x14ac:dyDescent="0.2">
      <c r="B62" s="93"/>
      <c r="C62" s="366" t="s">
        <v>154</v>
      </c>
      <c r="D62" s="32" t="s">
        <v>104</v>
      </c>
      <c r="E62" s="224" t="s">
        <v>155</v>
      </c>
      <c r="F62" s="369" t="s">
        <v>106</v>
      </c>
      <c r="G62" s="370"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336" t="s">
        <v>20</v>
      </c>
      <c r="I62" s="373" t="s">
        <v>571</v>
      </c>
      <c r="J62" s="94"/>
    </row>
    <row r="63" spans="1:11" ht="8.25" customHeight="1" x14ac:dyDescent="0.2">
      <c r="A63" s="22"/>
      <c r="B63" s="93"/>
      <c r="C63" s="367"/>
      <c r="D63" s="22"/>
      <c r="F63" s="283"/>
      <c r="G63" s="371"/>
      <c r="H63" s="283"/>
      <c r="I63" s="374"/>
      <c r="J63" s="94"/>
    </row>
    <row r="64" spans="1:11" ht="15" x14ac:dyDescent="0.2">
      <c r="A64" s="28"/>
      <c r="B64" s="128"/>
      <c r="C64" s="367"/>
      <c r="D64" s="28"/>
      <c r="E64" s="129" t="s">
        <v>157</v>
      </c>
      <c r="F64" s="283"/>
      <c r="G64" s="371"/>
      <c r="H64" s="283"/>
      <c r="I64" s="374"/>
      <c r="J64" s="131"/>
      <c r="K64" s="28"/>
    </row>
    <row r="65" spans="2:10" ht="88.5" customHeight="1" thickBot="1" x14ac:dyDescent="0.25">
      <c r="B65" s="93"/>
      <c r="C65" s="368"/>
      <c r="D65" s="32" t="s">
        <v>104</v>
      </c>
      <c r="E65" s="224" t="s">
        <v>158</v>
      </c>
      <c r="F65" s="283"/>
      <c r="G65" s="372"/>
      <c r="H65" s="283"/>
      <c r="I65" s="335"/>
      <c r="J65" s="94"/>
    </row>
    <row r="66" spans="2:10" ht="15.75" customHeight="1" thickBot="1" x14ac:dyDescent="0.25">
      <c r="B66" s="103"/>
      <c r="C66" s="133"/>
      <c r="D66" s="39"/>
      <c r="E66" s="118"/>
      <c r="F66" s="40"/>
      <c r="G66" s="118"/>
      <c r="H66" s="40"/>
      <c r="I66" s="118"/>
      <c r="J66" s="104"/>
    </row>
    <row r="67" spans="2:10" ht="14" x14ac:dyDescent="0.2">
      <c r="D67" s="22"/>
      <c r="F67" s="22"/>
      <c r="G67" s="97"/>
      <c r="H67" s="22"/>
      <c r="I67" s="22"/>
    </row>
    <row r="68" spans="2:10" ht="16" x14ac:dyDescent="0.2">
      <c r="B68" s="281" t="s">
        <v>162</v>
      </c>
      <c r="C68" s="281"/>
      <c r="D68" s="281"/>
      <c r="E68" s="281"/>
      <c r="G68" s="97"/>
      <c r="H68" s="22"/>
      <c r="I68" s="299" t="s">
        <v>161</v>
      </c>
      <c r="J68" s="281"/>
    </row>
    <row r="69" spans="2:10" ht="14" x14ac:dyDescent="0.2">
      <c r="G69" s="97"/>
      <c r="H69" s="22"/>
      <c r="I69" s="22"/>
    </row>
    <row r="70" spans="2:10" ht="16" x14ac:dyDescent="0.2">
      <c r="B70" s="280" t="s">
        <v>37</v>
      </c>
      <c r="C70" s="281"/>
      <c r="D70" s="281"/>
      <c r="E70" s="281"/>
      <c r="F70" s="281"/>
      <c r="G70" s="281"/>
      <c r="H70" s="281"/>
      <c r="I70" s="281"/>
      <c r="J70" s="281"/>
    </row>
    <row r="71" spans="2:10" ht="14" x14ac:dyDescent="0.2">
      <c r="D71" s="22"/>
      <c r="F71" s="22"/>
      <c r="G71" s="97"/>
      <c r="H71" s="22"/>
      <c r="I71" s="22"/>
    </row>
    <row r="72" spans="2:10" ht="14" x14ac:dyDescent="0.2">
      <c r="D72" s="22"/>
      <c r="F72" s="22"/>
      <c r="G72" s="97"/>
      <c r="H72" s="22"/>
      <c r="I72" s="22"/>
    </row>
    <row r="73" spans="2:10" ht="14" x14ac:dyDescent="0.2">
      <c r="D73" s="22"/>
      <c r="F73" s="22"/>
      <c r="G73" s="97"/>
      <c r="H73" s="22"/>
      <c r="I73" s="22"/>
    </row>
    <row r="74" spans="2:10" ht="14" x14ac:dyDescent="0.2">
      <c r="D74" s="22"/>
      <c r="F74" s="22"/>
      <c r="G74" s="97"/>
      <c r="H74" s="22"/>
      <c r="I74" s="22"/>
    </row>
  </sheetData>
  <sheetProtection algorithmName="SHA-512" hashValue="ZEnCNjEWh1ljl3O4hOS5m/D2acLNYgUU4sIPgzlXRj1HsDIURwumCK5wcNYeDxMUtLkPsvonWwW/5n3TZNadLg==" saltValue="kufth1exNaeeWJoSAVX1sg==" spinCount="100000" sheet="1" objects="1" scenarios="1"/>
  <mergeCells count="31">
    <mergeCell ref="B1:G1"/>
    <mergeCell ref="B3:E3"/>
    <mergeCell ref="I3:J3"/>
    <mergeCell ref="C35:C38"/>
    <mergeCell ref="F35:F38"/>
    <mergeCell ref="G35:G38"/>
    <mergeCell ref="H35:H38"/>
    <mergeCell ref="I35:I38"/>
    <mergeCell ref="B27:J27"/>
    <mergeCell ref="B32:J32"/>
    <mergeCell ref="B19:J22"/>
    <mergeCell ref="B9:E9"/>
    <mergeCell ref="I9:J9"/>
    <mergeCell ref="B4:J7"/>
    <mergeCell ref="B10:J11"/>
    <mergeCell ref="B16:J17"/>
    <mergeCell ref="B40:J40"/>
    <mergeCell ref="B41:J41"/>
    <mergeCell ref="B43:J43"/>
    <mergeCell ref="I45:J45"/>
    <mergeCell ref="B47:E47"/>
    <mergeCell ref="I47:J47"/>
    <mergeCell ref="B48:J50"/>
    <mergeCell ref="B68:E68"/>
    <mergeCell ref="I68:J68"/>
    <mergeCell ref="B70:J70"/>
    <mergeCell ref="C62:C65"/>
    <mergeCell ref="F62:F65"/>
    <mergeCell ref="G62:G65"/>
    <mergeCell ref="H62:H65"/>
    <mergeCell ref="I62:I65"/>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40.83203125" style="89" customWidth="1"/>
    <col min="4" max="4" width="4" style="89" customWidth="1"/>
    <col min="5" max="5" width="20.83203125" style="89" customWidth="1"/>
    <col min="6" max="6" width="4" style="89" customWidth="1"/>
    <col min="7" max="7" width="35" style="89" customWidth="1"/>
    <col min="8" max="8" width="4" style="89" customWidth="1"/>
    <col min="9" max="9" width="42.83203125" style="89" customWidth="1"/>
    <col min="10" max="10" width="3" style="89" customWidth="1"/>
    <col min="11" max="11" width="5.5" style="89" customWidth="1"/>
    <col min="12" max="16384" width="12.6640625" style="89"/>
  </cols>
  <sheetData>
    <row r="1" spans="1:11" ht="40" customHeight="1" x14ac:dyDescent="0.2">
      <c r="A1" s="88"/>
      <c r="B1" s="352" t="s">
        <v>163</v>
      </c>
      <c r="C1" s="283"/>
      <c r="D1" s="283"/>
      <c r="E1" s="283"/>
      <c r="F1" s="283"/>
      <c r="G1" s="283"/>
      <c r="H1" s="283"/>
      <c r="I1" s="283"/>
      <c r="J1" s="22"/>
      <c r="K1" s="22"/>
    </row>
    <row r="2" spans="1:11" ht="21.75" customHeight="1" thickBot="1" x14ac:dyDescent="0.25">
      <c r="D2" s="22"/>
      <c r="F2" s="22"/>
      <c r="G2" s="97"/>
      <c r="H2" s="22"/>
      <c r="I2" s="22"/>
    </row>
    <row r="3" spans="1:11" ht="29.25" customHeight="1" x14ac:dyDescent="0.2">
      <c r="B3" s="300" t="s">
        <v>164</v>
      </c>
      <c r="C3" s="301"/>
      <c r="D3" s="301"/>
      <c r="E3" s="301"/>
      <c r="F3" s="24"/>
      <c r="G3" s="127"/>
      <c r="H3" s="24"/>
      <c r="I3" s="302"/>
      <c r="J3" s="303"/>
    </row>
    <row r="4" spans="1:11" ht="14" customHeight="1" x14ac:dyDescent="0.2">
      <c r="B4" s="296" t="s">
        <v>167</v>
      </c>
      <c r="C4" s="288"/>
      <c r="D4" s="288"/>
      <c r="E4" s="288"/>
      <c r="F4" s="288"/>
      <c r="G4" s="288"/>
      <c r="H4" s="288"/>
      <c r="I4" s="288"/>
      <c r="J4" s="297"/>
    </row>
    <row r="5" spans="1:11" ht="14" customHeight="1" x14ac:dyDescent="0.2">
      <c r="B5" s="296"/>
      <c r="C5" s="288"/>
      <c r="D5" s="288"/>
      <c r="E5" s="288"/>
      <c r="F5" s="288"/>
      <c r="G5" s="288"/>
      <c r="H5" s="288"/>
      <c r="I5" s="288"/>
      <c r="J5" s="297"/>
    </row>
    <row r="6" spans="1:11" ht="15" customHeight="1" x14ac:dyDescent="0.2">
      <c r="B6" s="296"/>
      <c r="C6" s="288"/>
      <c r="D6" s="288"/>
      <c r="E6" s="288"/>
      <c r="F6" s="288"/>
      <c r="G6" s="288"/>
      <c r="H6" s="288"/>
      <c r="I6" s="288"/>
      <c r="J6" s="297"/>
    </row>
    <row r="7" spans="1:11" ht="15" customHeight="1" x14ac:dyDescent="0.2">
      <c r="B7" s="296"/>
      <c r="C7" s="288"/>
      <c r="D7" s="288"/>
      <c r="E7" s="288"/>
      <c r="F7" s="288"/>
      <c r="G7" s="288"/>
      <c r="H7" s="288"/>
      <c r="I7" s="288"/>
      <c r="J7" s="297"/>
    </row>
    <row r="8" spans="1:11" ht="8.25" customHeight="1" x14ac:dyDescent="0.2">
      <c r="B8" s="93"/>
      <c r="D8" s="22"/>
      <c r="F8" s="22"/>
      <c r="G8" s="97"/>
      <c r="H8" s="22"/>
      <c r="I8" s="22"/>
      <c r="J8" s="94"/>
    </row>
    <row r="9" spans="1:11" ht="16" thickBot="1" x14ac:dyDescent="0.25">
      <c r="A9" s="28"/>
      <c r="B9" s="128"/>
      <c r="C9" s="129" t="s">
        <v>100</v>
      </c>
      <c r="D9" s="28"/>
      <c r="E9" s="129" t="s">
        <v>18</v>
      </c>
      <c r="F9" s="28"/>
      <c r="H9" s="28"/>
      <c r="I9" s="129"/>
      <c r="J9" s="131"/>
      <c r="K9" s="28"/>
    </row>
    <row r="10" spans="1:11" ht="91" thickBot="1" x14ac:dyDescent="0.25">
      <c r="B10" s="93"/>
      <c r="C10" s="226" t="s">
        <v>61</v>
      </c>
      <c r="D10" s="141" t="s">
        <v>572</v>
      </c>
      <c r="E10" s="398" t="s">
        <v>615</v>
      </c>
      <c r="F10" s="398"/>
      <c r="G10" s="398"/>
      <c r="H10" s="398"/>
      <c r="I10" s="398"/>
      <c r="J10" s="94"/>
    </row>
    <row r="11" spans="1:11" ht="15.75" customHeight="1" x14ac:dyDescent="0.2">
      <c r="B11" s="93"/>
      <c r="C11" s="37"/>
      <c r="D11" s="12"/>
      <c r="E11" s="97"/>
      <c r="F11" s="22"/>
      <c r="G11" s="97"/>
      <c r="H11" s="22"/>
      <c r="I11" s="97"/>
      <c r="J11" s="94"/>
    </row>
    <row r="12" spans="1:11" ht="16" collapsed="1" thickBot="1" x14ac:dyDescent="0.25">
      <c r="B12" s="84" t="s">
        <v>42</v>
      </c>
      <c r="C12" s="332" t="s">
        <v>43</v>
      </c>
      <c r="D12" s="283"/>
      <c r="E12" s="283"/>
      <c r="F12" s="283"/>
      <c r="G12" s="283"/>
      <c r="H12" s="283"/>
      <c r="I12" s="283"/>
      <c r="J12" s="284"/>
    </row>
    <row r="13" spans="1:11" ht="15" hidden="1" outlineLevel="1" thickBot="1" x14ac:dyDescent="0.25">
      <c r="B13" s="365" t="s">
        <v>168</v>
      </c>
      <c r="C13" s="283"/>
      <c r="D13" s="283"/>
      <c r="E13" s="283"/>
      <c r="F13" s="283"/>
      <c r="G13" s="283"/>
      <c r="H13" s="283"/>
      <c r="I13" s="283"/>
      <c r="J13" s="284"/>
    </row>
    <row r="14" spans="1:11" ht="33.75" customHeight="1" thickBot="1" x14ac:dyDescent="0.25">
      <c r="B14" s="24"/>
      <c r="C14" s="24"/>
      <c r="D14" s="24"/>
      <c r="E14" s="24"/>
      <c r="F14" s="24"/>
      <c r="G14" s="127"/>
      <c r="H14" s="24"/>
      <c r="I14" s="24"/>
      <c r="J14" s="24"/>
    </row>
    <row r="15" spans="1:11" ht="29.25" customHeight="1" x14ac:dyDescent="0.2">
      <c r="B15" s="300" t="s">
        <v>165</v>
      </c>
      <c r="C15" s="301"/>
      <c r="D15" s="301"/>
      <c r="E15" s="301"/>
      <c r="F15" s="24"/>
      <c r="G15" s="127"/>
      <c r="H15" s="24"/>
      <c r="I15" s="302"/>
      <c r="J15" s="303"/>
    </row>
    <row r="16" spans="1:11" ht="14" customHeight="1" x14ac:dyDescent="0.2">
      <c r="B16" s="296" t="s">
        <v>169</v>
      </c>
      <c r="C16" s="288"/>
      <c r="D16" s="288"/>
      <c r="E16" s="288"/>
      <c r="F16" s="288"/>
      <c r="G16" s="288"/>
      <c r="H16" s="288"/>
      <c r="I16" s="288"/>
      <c r="J16" s="297"/>
    </row>
    <row r="17" spans="1:11" ht="14" customHeight="1" x14ac:dyDescent="0.2">
      <c r="B17" s="296"/>
      <c r="C17" s="288"/>
      <c r="D17" s="288"/>
      <c r="E17" s="288"/>
      <c r="F17" s="288"/>
      <c r="G17" s="288"/>
      <c r="H17" s="288"/>
      <c r="I17" s="288"/>
      <c r="J17" s="297"/>
    </row>
    <row r="18" spans="1:11" ht="14" x14ac:dyDescent="0.2">
      <c r="B18" s="296"/>
      <c r="C18" s="288"/>
      <c r="D18" s="288"/>
      <c r="E18" s="288"/>
      <c r="F18" s="288"/>
      <c r="G18" s="288"/>
      <c r="H18" s="288"/>
      <c r="I18" s="288"/>
      <c r="J18" s="297"/>
    </row>
    <row r="19" spans="1:11" ht="14" x14ac:dyDescent="0.2">
      <c r="B19" s="296"/>
      <c r="C19" s="288"/>
      <c r="D19" s="288"/>
      <c r="E19" s="288"/>
      <c r="F19" s="288"/>
      <c r="G19" s="288"/>
      <c r="H19" s="288"/>
      <c r="I19" s="288"/>
      <c r="J19" s="297"/>
    </row>
    <row r="20" spans="1:11" ht="8.25" customHeight="1" x14ac:dyDescent="0.2">
      <c r="B20" s="93"/>
      <c r="D20" s="22"/>
      <c r="F20" s="22"/>
      <c r="G20" s="97"/>
      <c r="H20" s="22"/>
      <c r="I20" s="22"/>
      <c r="J20" s="94"/>
    </row>
    <row r="21" spans="1:11" ht="17" thickBot="1" x14ac:dyDescent="0.25">
      <c r="A21" s="28"/>
      <c r="B21" s="128"/>
      <c r="C21" s="129" t="s">
        <v>100</v>
      </c>
      <c r="D21" s="28"/>
      <c r="E21" s="129" t="s">
        <v>101</v>
      </c>
      <c r="F21" s="28"/>
      <c r="G21" s="130" t="s">
        <v>102</v>
      </c>
      <c r="H21" s="28"/>
      <c r="I21" s="129" t="s">
        <v>18</v>
      </c>
      <c r="J21" s="131"/>
      <c r="K21" s="28"/>
    </row>
    <row r="22" spans="1:11" ht="91" thickBot="1" x14ac:dyDescent="0.25">
      <c r="B22" s="93"/>
      <c r="C22" s="223" t="s">
        <v>147</v>
      </c>
      <c r="D22" s="32" t="s">
        <v>104</v>
      </c>
      <c r="E22" s="225" t="s">
        <v>148</v>
      </c>
      <c r="F22" s="34" t="s">
        <v>106</v>
      </c>
      <c r="G22" s="136" t="str">
        <f>SUBSTITUTE(C22,"{{ANIMAL}}",E22)</f>
        <v xml:space="preserve">
Human: Please write a haiku about Cat. Put it in &lt;haiku&gt; tags.
Assistant: &lt;haiku&gt;</v>
      </c>
      <c r="H22" s="12" t="s">
        <v>20</v>
      </c>
      <c r="I22" s="237" t="s">
        <v>616</v>
      </c>
      <c r="J22" s="94"/>
    </row>
    <row r="23" spans="1:11" ht="15.75" customHeight="1" x14ac:dyDescent="0.2">
      <c r="B23" s="93"/>
      <c r="C23" s="37"/>
      <c r="D23" s="12"/>
      <c r="E23" s="97"/>
      <c r="F23" s="22"/>
      <c r="G23" s="97"/>
      <c r="H23" s="22"/>
      <c r="I23" s="97"/>
      <c r="J23" s="94"/>
    </row>
    <row r="24" spans="1:11" ht="16" collapsed="1" thickBot="1" x14ac:dyDescent="0.25">
      <c r="B24" s="84" t="s">
        <v>42</v>
      </c>
      <c r="C24" s="332" t="s">
        <v>43</v>
      </c>
      <c r="D24" s="283"/>
      <c r="E24" s="283"/>
      <c r="F24" s="283"/>
      <c r="G24" s="283"/>
      <c r="H24" s="283"/>
      <c r="I24" s="283"/>
      <c r="J24" s="284"/>
    </row>
    <row r="25" spans="1:11" ht="15" hidden="1" outlineLevel="1" thickBot="1" x14ac:dyDescent="0.25">
      <c r="B25" s="365" t="s">
        <v>170</v>
      </c>
      <c r="C25" s="283"/>
      <c r="D25" s="283"/>
      <c r="E25" s="283"/>
      <c r="F25" s="283"/>
      <c r="G25" s="283"/>
      <c r="H25" s="283"/>
      <c r="I25" s="283"/>
      <c r="J25" s="284"/>
    </row>
    <row r="26" spans="1:11" ht="33.75" customHeight="1" thickBot="1" x14ac:dyDescent="0.25">
      <c r="B26" s="24"/>
      <c r="C26" s="24"/>
      <c r="D26" s="24"/>
      <c r="E26" s="24"/>
      <c r="F26" s="24"/>
      <c r="G26" s="127"/>
      <c r="H26" s="24"/>
      <c r="I26" s="24"/>
      <c r="J26" s="24"/>
    </row>
    <row r="27" spans="1:11" ht="29.25" customHeight="1" x14ac:dyDescent="0.2">
      <c r="B27" s="300" t="s">
        <v>166</v>
      </c>
      <c r="C27" s="301"/>
      <c r="D27" s="301"/>
      <c r="E27" s="301"/>
      <c r="F27" s="24"/>
      <c r="G27" s="127"/>
      <c r="H27" s="24"/>
      <c r="I27" s="302"/>
      <c r="J27" s="303"/>
    </row>
    <row r="28" spans="1:11" ht="14" customHeight="1" x14ac:dyDescent="0.2">
      <c r="B28" s="296" t="s">
        <v>171</v>
      </c>
      <c r="C28" s="288"/>
      <c r="D28" s="288"/>
      <c r="E28" s="288"/>
      <c r="F28" s="288"/>
      <c r="G28" s="288"/>
      <c r="H28" s="288"/>
      <c r="I28" s="288"/>
      <c r="J28" s="297"/>
    </row>
    <row r="29" spans="1:11" ht="14" customHeight="1" x14ac:dyDescent="0.2">
      <c r="B29" s="296"/>
      <c r="C29" s="288"/>
      <c r="D29" s="288"/>
      <c r="E29" s="288"/>
      <c r="F29" s="288"/>
      <c r="G29" s="288"/>
      <c r="H29" s="288"/>
      <c r="I29" s="288"/>
      <c r="J29" s="297"/>
    </row>
    <row r="30" spans="1:11" ht="14" customHeight="1" x14ac:dyDescent="0.2">
      <c r="B30" s="296"/>
      <c r="C30" s="288"/>
      <c r="D30" s="288"/>
      <c r="E30" s="288"/>
      <c r="F30" s="288"/>
      <c r="G30" s="288"/>
      <c r="H30" s="288"/>
      <c r="I30" s="288"/>
      <c r="J30" s="297"/>
    </row>
    <row r="31" spans="1:11" ht="14" x14ac:dyDescent="0.2">
      <c r="B31" s="296"/>
      <c r="C31" s="288"/>
      <c r="D31" s="288"/>
      <c r="E31" s="288"/>
      <c r="F31" s="288"/>
      <c r="G31" s="288"/>
      <c r="H31" s="288"/>
      <c r="I31" s="288"/>
      <c r="J31" s="297"/>
    </row>
    <row r="32" spans="1:11" ht="14" x14ac:dyDescent="0.2">
      <c r="B32" s="296"/>
      <c r="C32" s="288"/>
      <c r="D32" s="288"/>
      <c r="E32" s="288"/>
      <c r="F32" s="288"/>
      <c r="G32" s="288"/>
      <c r="H32" s="288"/>
      <c r="I32" s="288"/>
      <c r="J32" s="297"/>
    </row>
    <row r="33" spans="1:11" ht="8.25" customHeight="1" x14ac:dyDescent="0.2">
      <c r="B33" s="93"/>
      <c r="D33" s="22"/>
      <c r="F33" s="22"/>
      <c r="G33" s="97"/>
      <c r="H33" s="22"/>
      <c r="I33" s="22"/>
      <c r="J33" s="94"/>
    </row>
    <row r="34" spans="1:11" ht="17" thickBot="1" x14ac:dyDescent="0.25">
      <c r="A34" s="28"/>
      <c r="B34" s="128"/>
      <c r="C34" s="129" t="s">
        <v>100</v>
      </c>
      <c r="D34" s="28"/>
      <c r="E34" s="129" t="s">
        <v>172</v>
      </c>
      <c r="F34" s="28"/>
      <c r="G34" s="130" t="s">
        <v>102</v>
      </c>
      <c r="H34" s="28"/>
      <c r="I34" s="129" t="s">
        <v>18</v>
      </c>
      <c r="J34" s="131"/>
      <c r="K34" s="28"/>
    </row>
    <row r="35" spans="1:11" ht="78" customHeight="1" x14ac:dyDescent="0.2">
      <c r="B35" s="93"/>
      <c r="C35" s="366" t="s">
        <v>147</v>
      </c>
      <c r="D35" s="32" t="s">
        <v>104</v>
      </c>
      <c r="E35" s="224" t="s">
        <v>148</v>
      </c>
      <c r="F35" s="369" t="s">
        <v>106</v>
      </c>
      <c r="G35" s="370" t="str">
        <f>SUBSTITUTE(SUBSTITUTE(C35,"{{ANIMAL1}}",E35),"{{ANIMAL2}}",E38)</f>
        <v xml:space="preserve">
Human: Please write a haiku about {{ANIMAL}}. Put it in &lt;haiku&gt; tags.
Assistant: &lt;haiku&gt;</v>
      </c>
      <c r="H35" s="336" t="s">
        <v>20</v>
      </c>
      <c r="I35" s="396" t="s">
        <v>617</v>
      </c>
      <c r="J35" s="94"/>
    </row>
    <row r="36" spans="1:11" ht="8.25" customHeight="1" x14ac:dyDescent="0.2">
      <c r="B36" s="93"/>
      <c r="C36" s="367"/>
      <c r="D36" s="12"/>
      <c r="E36" s="97"/>
      <c r="F36" s="283"/>
      <c r="G36" s="371"/>
      <c r="H36" s="283"/>
      <c r="I36" s="397"/>
      <c r="J36" s="94"/>
    </row>
    <row r="37" spans="1:11" ht="15.75" customHeight="1" x14ac:dyDescent="0.2">
      <c r="A37" s="28"/>
      <c r="B37" s="128"/>
      <c r="C37" s="367"/>
      <c r="D37" s="43"/>
      <c r="E37" s="129" t="s">
        <v>173</v>
      </c>
      <c r="F37" s="283"/>
      <c r="G37" s="371"/>
      <c r="H37" s="283"/>
      <c r="I37" s="397"/>
      <c r="J37" s="131"/>
      <c r="K37" s="28"/>
    </row>
    <row r="38" spans="1:11" ht="78" customHeight="1" thickBot="1" x14ac:dyDescent="0.25">
      <c r="B38" s="93"/>
      <c r="C38" s="368"/>
      <c r="D38" s="32" t="s">
        <v>104</v>
      </c>
      <c r="E38" s="224" t="s">
        <v>174</v>
      </c>
      <c r="F38" s="283"/>
      <c r="G38" s="372"/>
      <c r="H38" s="283"/>
      <c r="I38" s="338"/>
      <c r="J38" s="94"/>
    </row>
    <row r="39" spans="1:11" ht="15.75" customHeight="1" x14ac:dyDescent="0.2">
      <c r="B39" s="93"/>
      <c r="C39" s="37"/>
      <c r="D39" s="12"/>
      <c r="E39" s="97"/>
      <c r="F39" s="22"/>
      <c r="G39" s="97"/>
      <c r="H39" s="22"/>
      <c r="I39" s="97"/>
      <c r="J39" s="94"/>
    </row>
    <row r="40" spans="1:11" ht="16" collapsed="1" thickBot="1" x14ac:dyDescent="0.25">
      <c r="B40" s="84" t="s">
        <v>42</v>
      </c>
      <c r="C40" s="332" t="s">
        <v>43</v>
      </c>
      <c r="D40" s="283"/>
      <c r="E40" s="283"/>
      <c r="F40" s="283"/>
      <c r="G40" s="283"/>
      <c r="H40" s="283"/>
      <c r="I40" s="283"/>
      <c r="J40" s="284"/>
    </row>
    <row r="41" spans="1:11" ht="20.25" hidden="1" customHeight="1" outlineLevel="1" x14ac:dyDescent="0.2">
      <c r="B41" s="365" t="s">
        <v>175</v>
      </c>
      <c r="C41" s="283"/>
      <c r="D41" s="283"/>
      <c r="E41" s="283"/>
      <c r="F41" s="283"/>
      <c r="G41" s="283"/>
      <c r="H41" s="283"/>
      <c r="I41" s="283"/>
      <c r="J41" s="284"/>
    </row>
    <row r="42" spans="1:11" ht="21.75" hidden="1" customHeight="1" outlineLevel="1" x14ac:dyDescent="0.2">
      <c r="B42" s="139" t="s">
        <v>176</v>
      </c>
      <c r="C42" s="395" t="s">
        <v>177</v>
      </c>
      <c r="D42" s="283"/>
      <c r="E42" s="283"/>
      <c r="F42" s="283"/>
      <c r="G42" s="283"/>
      <c r="H42" s="283"/>
      <c r="I42" s="283"/>
      <c r="J42" s="140"/>
    </row>
    <row r="43" spans="1:11" ht="35.25" hidden="1" customHeight="1" outlineLevel="1" x14ac:dyDescent="0.2">
      <c r="B43" s="139" t="s">
        <v>178</v>
      </c>
      <c r="C43" s="395" t="s">
        <v>179</v>
      </c>
      <c r="D43" s="283"/>
      <c r="E43" s="283"/>
      <c r="F43" s="283"/>
      <c r="G43" s="283"/>
      <c r="H43" s="283"/>
      <c r="I43" s="283"/>
      <c r="J43" s="140"/>
    </row>
    <row r="44" spans="1:11" ht="35.25" hidden="1" customHeight="1" outlineLevel="1" x14ac:dyDescent="0.2">
      <c r="B44" s="139" t="s">
        <v>180</v>
      </c>
      <c r="C44" s="395" t="s">
        <v>181</v>
      </c>
      <c r="D44" s="283"/>
      <c r="E44" s="283"/>
      <c r="F44" s="283"/>
      <c r="G44" s="283"/>
      <c r="H44" s="283"/>
      <c r="I44" s="283"/>
      <c r="J44" s="140"/>
    </row>
    <row r="45" spans="1:11" ht="14" x14ac:dyDescent="0.2">
      <c r="B45" s="24"/>
      <c r="C45" s="24"/>
      <c r="D45" s="24"/>
      <c r="E45" s="24"/>
      <c r="F45" s="24"/>
      <c r="G45" s="127"/>
      <c r="H45" s="24"/>
      <c r="I45" s="24"/>
      <c r="J45" s="24"/>
    </row>
    <row r="46" spans="1:11" ht="16" x14ac:dyDescent="0.2">
      <c r="B46" s="281" t="s">
        <v>182</v>
      </c>
      <c r="C46" s="281"/>
      <c r="D46" s="281"/>
      <c r="E46" s="281"/>
      <c r="G46" s="97"/>
      <c r="H46" s="299" t="s">
        <v>183</v>
      </c>
      <c r="I46" s="281"/>
      <c r="J46" s="281"/>
    </row>
    <row r="47" spans="1:11" ht="14" x14ac:dyDescent="0.2">
      <c r="G47" s="97"/>
      <c r="H47" s="22"/>
      <c r="I47" s="22"/>
    </row>
    <row r="48" spans="1:11" ht="16" x14ac:dyDescent="0.2">
      <c r="B48" s="280" t="s">
        <v>37</v>
      </c>
      <c r="C48" s="281"/>
      <c r="D48" s="281"/>
      <c r="E48" s="281"/>
      <c r="F48" s="281"/>
      <c r="G48" s="281"/>
      <c r="H48" s="281"/>
      <c r="I48" s="281"/>
      <c r="J48" s="281"/>
    </row>
    <row r="49" spans="4:9" ht="14" x14ac:dyDescent="0.2">
      <c r="D49" s="22"/>
      <c r="F49" s="22"/>
      <c r="G49" s="97"/>
      <c r="H49" s="22"/>
      <c r="I49" s="22"/>
    </row>
    <row r="50" spans="4:9" ht="14" x14ac:dyDescent="0.2">
      <c r="D50" s="22"/>
      <c r="F50" s="22"/>
      <c r="G50" s="97"/>
      <c r="H50" s="22"/>
      <c r="I50" s="22"/>
    </row>
    <row r="51" spans="4:9" ht="14" x14ac:dyDescent="0.2">
      <c r="D51" s="22"/>
      <c r="F51" s="22"/>
      <c r="G51" s="97"/>
      <c r="H51" s="22"/>
      <c r="I51" s="22"/>
    </row>
    <row r="52" spans="4:9" ht="14" x14ac:dyDescent="0.2">
      <c r="D52" s="22"/>
      <c r="F52" s="22"/>
      <c r="G52" s="97"/>
      <c r="H52" s="22"/>
      <c r="I52" s="22"/>
    </row>
  </sheetData>
  <sheetProtection algorithmName="SHA-512" hashValue="pasbe4K138WMK+Z79e58rUjOHYojtkhueb2mxfNYLefRVYwQL9PJIQvJXP9HGkhbEY48gmJsolBAdKTeuKNM1g==" saltValue="xnoK1KFccC/2oKxI1KHbxQ==" spinCount="100000" sheet="1" objects="1" scenarios="1"/>
  <mergeCells count="28">
    <mergeCell ref="B4:J7"/>
    <mergeCell ref="B16:J19"/>
    <mergeCell ref="E10:I10"/>
    <mergeCell ref="B1:I1"/>
    <mergeCell ref="B3:E3"/>
    <mergeCell ref="I3:J3"/>
    <mergeCell ref="C12:J12"/>
    <mergeCell ref="B13:J13"/>
    <mergeCell ref="B15:E15"/>
    <mergeCell ref="I15:J15"/>
    <mergeCell ref="C24:J24"/>
    <mergeCell ref="B25:J25"/>
    <mergeCell ref="B27:E27"/>
    <mergeCell ref="I27:J27"/>
    <mergeCell ref="B28:J32"/>
    <mergeCell ref="C35:C38"/>
    <mergeCell ref="F35:F38"/>
    <mergeCell ref="G35:G38"/>
    <mergeCell ref="H35:H38"/>
    <mergeCell ref="I35:I38"/>
    <mergeCell ref="B48:J48"/>
    <mergeCell ref="C40:J40"/>
    <mergeCell ref="B41:J41"/>
    <mergeCell ref="C42:I42"/>
    <mergeCell ref="C43:I43"/>
    <mergeCell ref="C44:I44"/>
    <mergeCell ref="B46:E46"/>
    <mergeCell ref="H46:J46"/>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(LEN(I22)-LEN(SUBSTITUTE(I22,CHAR(10),""))+1)&gt;5</formula>
    </cfRule>
  </conditionalFormatting>
  <conditionalFormatting sqref="I35:I38">
    <cfRule type="expression" dxfId="15" priority="3">
      <formula>AND(OR(MATCH("dog",I35,0), MATCH("Dog",I35,0)), OR(MATCH("cat",I35,0), MATCH("Cat",I35,0)), MATCH("&lt;haiku",I35,0))</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5.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52" t="s">
        <v>184</v>
      </c>
      <c r="C1" s="283"/>
      <c r="D1" s="283"/>
      <c r="E1" s="283"/>
      <c r="F1" s="22"/>
      <c r="G1" s="22"/>
    </row>
    <row r="2" spans="1:7" ht="21.75" customHeight="1" thickBot="1" x14ac:dyDescent="0.25"/>
    <row r="3" spans="1:7" ht="29.25" customHeight="1" x14ac:dyDescent="0.2">
      <c r="A3" s="22"/>
      <c r="B3" s="314" t="s">
        <v>12</v>
      </c>
      <c r="C3" s="315"/>
      <c r="D3" s="315"/>
      <c r="E3" s="316"/>
      <c r="F3" s="317"/>
      <c r="G3" s="22"/>
    </row>
    <row r="4" spans="1:7" ht="15" customHeight="1" x14ac:dyDescent="0.2">
      <c r="B4" s="353" t="s">
        <v>573</v>
      </c>
      <c r="C4" s="354"/>
      <c r="D4" s="354"/>
      <c r="E4" s="354"/>
      <c r="F4" s="355"/>
    </row>
    <row r="5" spans="1:7" ht="15" customHeight="1" x14ac:dyDescent="0.2">
      <c r="B5" s="353"/>
      <c r="C5" s="354"/>
      <c r="D5" s="354"/>
      <c r="E5" s="354"/>
      <c r="F5" s="355"/>
    </row>
    <row r="6" spans="1:7" ht="15" customHeight="1" x14ac:dyDescent="0.2">
      <c r="B6" s="353"/>
      <c r="C6" s="354"/>
      <c r="D6" s="354"/>
      <c r="E6" s="354"/>
      <c r="F6" s="355"/>
    </row>
    <row r="7" spans="1:7" ht="15" customHeight="1" x14ac:dyDescent="0.2">
      <c r="B7" s="353"/>
      <c r="C7" s="354"/>
      <c r="D7" s="354"/>
      <c r="E7" s="354"/>
      <c r="F7" s="355"/>
    </row>
    <row r="8" spans="1:7" ht="15" customHeight="1" x14ac:dyDescent="0.2">
      <c r="B8" s="353"/>
      <c r="C8" s="354"/>
      <c r="D8" s="354"/>
      <c r="E8" s="354"/>
      <c r="F8" s="355"/>
    </row>
    <row r="9" spans="1:7" ht="15" customHeight="1" thickBot="1" x14ac:dyDescent="0.25">
      <c r="B9" s="356"/>
      <c r="C9" s="357"/>
      <c r="D9" s="357"/>
      <c r="E9" s="357"/>
      <c r="F9" s="358"/>
    </row>
    <row r="10" spans="1:7" ht="33.75" customHeight="1" thickBot="1" x14ac:dyDescent="0.25"/>
    <row r="11" spans="1:7" ht="29.25" customHeight="1" x14ac:dyDescent="0.2">
      <c r="B11" s="300" t="s">
        <v>13</v>
      </c>
      <c r="C11" s="301"/>
      <c r="D11" s="301"/>
      <c r="E11" s="302"/>
      <c r="F11" s="303"/>
    </row>
    <row r="12" spans="1:7" ht="14" x14ac:dyDescent="0.2">
      <c r="B12" s="344" t="s">
        <v>185</v>
      </c>
      <c r="C12" s="283"/>
      <c r="D12" s="283"/>
      <c r="E12" s="283"/>
      <c r="F12" s="284"/>
    </row>
    <row r="13" spans="1:7" ht="8.25" customHeight="1" x14ac:dyDescent="0.2">
      <c r="B13" s="93"/>
      <c r="F13" s="94"/>
    </row>
    <row r="14" spans="1:7" ht="14" x14ac:dyDescent="0.2">
      <c r="B14" s="93"/>
      <c r="C14" s="95" t="s">
        <v>17</v>
      </c>
      <c r="E14" s="95" t="s">
        <v>18</v>
      </c>
      <c r="F14" s="94"/>
    </row>
    <row r="15" spans="1:7" ht="120" x14ac:dyDescent="0.2">
      <c r="B15" s="93"/>
      <c r="C15" s="101" t="s">
        <v>186</v>
      </c>
      <c r="D15" s="12" t="s">
        <v>20</v>
      </c>
      <c r="E15" s="101" t="s">
        <v>187</v>
      </c>
      <c r="F15" s="94"/>
    </row>
    <row r="16" spans="1:7" ht="22.5" customHeight="1" x14ac:dyDescent="0.2">
      <c r="B16" s="93"/>
      <c r="F16" s="94"/>
    </row>
    <row r="17" spans="1:7" ht="14" customHeight="1" x14ac:dyDescent="0.2">
      <c r="B17" s="296" t="s">
        <v>574</v>
      </c>
      <c r="C17" s="288"/>
      <c r="D17" s="288"/>
      <c r="E17" s="288"/>
      <c r="F17" s="297"/>
    </row>
    <row r="18" spans="1:7" ht="14" x14ac:dyDescent="0.2">
      <c r="B18" s="296"/>
      <c r="C18" s="288"/>
      <c r="D18" s="288"/>
      <c r="E18" s="288"/>
      <c r="F18" s="297"/>
    </row>
    <row r="19" spans="1:7" ht="14" x14ac:dyDescent="0.2">
      <c r="B19" s="296"/>
      <c r="C19" s="288"/>
      <c r="D19" s="288"/>
      <c r="E19" s="288"/>
      <c r="F19" s="297"/>
    </row>
    <row r="20" spans="1:7" ht="14" x14ac:dyDescent="0.2">
      <c r="B20" s="296"/>
      <c r="C20" s="288"/>
      <c r="D20" s="288"/>
      <c r="E20" s="288"/>
      <c r="F20" s="297"/>
    </row>
    <row r="21" spans="1:7" ht="8.25" customHeight="1" x14ac:dyDescent="0.2">
      <c r="B21" s="93"/>
      <c r="F21" s="94"/>
    </row>
    <row r="22" spans="1:7" ht="14" x14ac:dyDescent="0.2">
      <c r="B22" s="93"/>
      <c r="C22" s="95" t="s">
        <v>17</v>
      </c>
      <c r="E22" s="95" t="s">
        <v>18</v>
      </c>
      <c r="F22" s="94"/>
    </row>
    <row r="23" spans="1:7" ht="180" x14ac:dyDescent="0.2">
      <c r="A23" s="97"/>
      <c r="B23" s="98"/>
      <c r="C23" s="136" t="s">
        <v>188</v>
      </c>
      <c r="D23" s="15" t="s">
        <v>20</v>
      </c>
      <c r="E23" s="121" t="s">
        <v>189</v>
      </c>
      <c r="F23" s="100"/>
      <c r="G23" s="97"/>
    </row>
    <row r="24" spans="1:7" ht="22.5" customHeight="1" x14ac:dyDescent="0.2">
      <c r="B24" s="93"/>
      <c r="F24" s="94"/>
    </row>
    <row r="25" spans="1:7" ht="14" customHeight="1" x14ac:dyDescent="0.2">
      <c r="B25" s="296" t="s">
        <v>575</v>
      </c>
      <c r="C25" s="288"/>
      <c r="D25" s="288"/>
      <c r="E25" s="288"/>
      <c r="F25" s="297"/>
    </row>
    <row r="26" spans="1:7" ht="14" x14ac:dyDescent="0.2">
      <c r="B26" s="296"/>
      <c r="C26" s="288"/>
      <c r="D26" s="288"/>
      <c r="E26" s="288"/>
      <c r="F26" s="297"/>
    </row>
    <row r="27" spans="1:7" ht="14" x14ac:dyDescent="0.2">
      <c r="B27" s="296"/>
      <c r="C27" s="288"/>
      <c r="D27" s="288"/>
      <c r="E27" s="288"/>
      <c r="F27" s="297"/>
    </row>
    <row r="28" spans="1:7" ht="14" x14ac:dyDescent="0.2">
      <c r="B28" s="296"/>
      <c r="C28" s="288"/>
      <c r="D28" s="288"/>
      <c r="E28" s="288"/>
      <c r="F28" s="297"/>
    </row>
    <row r="29" spans="1:7" ht="14" x14ac:dyDescent="0.2">
      <c r="B29" s="296"/>
      <c r="C29" s="288"/>
      <c r="D29" s="288"/>
      <c r="E29" s="288"/>
      <c r="F29" s="297"/>
    </row>
    <row r="30" spans="1:7" ht="14" x14ac:dyDescent="0.2">
      <c r="B30" s="296"/>
      <c r="C30" s="288"/>
      <c r="D30" s="288"/>
      <c r="E30" s="288"/>
      <c r="F30" s="297"/>
    </row>
    <row r="31" spans="1:7" ht="14" x14ac:dyDescent="0.2">
      <c r="B31" s="296"/>
      <c r="C31" s="288"/>
      <c r="D31" s="288"/>
      <c r="E31" s="288"/>
      <c r="F31" s="297"/>
    </row>
    <row r="32" spans="1:7" ht="8.25" customHeight="1" x14ac:dyDescent="0.2">
      <c r="B32" s="93"/>
      <c r="F32" s="94"/>
    </row>
    <row r="33" spans="2:6" ht="14" x14ac:dyDescent="0.2">
      <c r="B33" s="93"/>
      <c r="C33" s="95" t="s">
        <v>17</v>
      </c>
      <c r="E33" s="95" t="s">
        <v>18</v>
      </c>
      <c r="F33" s="94"/>
    </row>
    <row r="34" spans="2:6" ht="210" x14ac:dyDescent="0.2">
      <c r="B34" s="93"/>
      <c r="C34" s="99" t="s">
        <v>190</v>
      </c>
      <c r="D34" s="15" t="s">
        <v>20</v>
      </c>
      <c r="E34" s="99" t="s">
        <v>191</v>
      </c>
      <c r="F34" s="94"/>
    </row>
    <row r="35" spans="2:6" ht="22.5" customHeight="1" x14ac:dyDescent="0.2">
      <c r="B35" s="93"/>
      <c r="F35" s="94"/>
    </row>
    <row r="36" spans="2:6" ht="14" customHeight="1" x14ac:dyDescent="0.2">
      <c r="B36" s="296" t="s">
        <v>192</v>
      </c>
      <c r="C36" s="288"/>
      <c r="D36" s="288"/>
      <c r="E36" s="288"/>
      <c r="F36" s="297"/>
    </row>
    <row r="37" spans="2:6" ht="14" customHeight="1" x14ac:dyDescent="0.2">
      <c r="B37" s="296"/>
      <c r="C37" s="288"/>
      <c r="D37" s="288"/>
      <c r="E37" s="288"/>
      <c r="F37" s="297"/>
    </row>
    <row r="38" spans="2:6" ht="14" x14ac:dyDescent="0.2">
      <c r="B38" s="296"/>
      <c r="C38" s="288"/>
      <c r="D38" s="288"/>
      <c r="E38" s="288"/>
      <c r="F38" s="297"/>
    </row>
    <row r="39" spans="2:6" ht="11.25" customHeight="1" x14ac:dyDescent="0.2">
      <c r="B39" s="90"/>
      <c r="C39" s="37"/>
      <c r="D39" s="37"/>
      <c r="E39" s="37"/>
      <c r="F39" s="91"/>
    </row>
    <row r="40" spans="2:6" ht="14" customHeight="1" x14ac:dyDescent="0.2">
      <c r="B40" s="296" t="s">
        <v>193</v>
      </c>
      <c r="C40" s="288"/>
      <c r="D40" s="288"/>
      <c r="E40" s="288"/>
      <c r="F40" s="297"/>
    </row>
    <row r="41" spans="2:6" ht="14" x14ac:dyDescent="0.2">
      <c r="B41" s="296"/>
      <c r="C41" s="288"/>
      <c r="D41" s="288"/>
      <c r="E41" s="288"/>
      <c r="F41" s="297"/>
    </row>
    <row r="42" spans="2:6" ht="8.25" customHeight="1" x14ac:dyDescent="0.2">
      <c r="B42" s="93"/>
      <c r="F42" s="94"/>
    </row>
    <row r="43" spans="2:6" ht="14" x14ac:dyDescent="0.2">
      <c r="B43" s="93"/>
      <c r="C43" s="95" t="s">
        <v>17</v>
      </c>
      <c r="E43" s="95" t="s">
        <v>18</v>
      </c>
      <c r="F43" s="94"/>
    </row>
    <row r="44" spans="2:6" ht="135" x14ac:dyDescent="0.2">
      <c r="B44" s="93"/>
      <c r="C44" s="99" t="s">
        <v>194</v>
      </c>
      <c r="D44" s="12" t="s">
        <v>20</v>
      </c>
      <c r="E44" s="99" t="s">
        <v>195</v>
      </c>
      <c r="F44" s="94"/>
    </row>
    <row r="45" spans="2:6" ht="22.5" customHeight="1" x14ac:dyDescent="0.2">
      <c r="B45" s="93"/>
      <c r="F45" s="94"/>
    </row>
    <row r="46" spans="2:6" ht="14" x14ac:dyDescent="0.2">
      <c r="B46" s="344" t="s">
        <v>196</v>
      </c>
      <c r="C46" s="283"/>
      <c r="D46" s="283"/>
      <c r="E46" s="283"/>
      <c r="F46" s="284"/>
    </row>
    <row r="47" spans="2:6" ht="8.25" customHeight="1" x14ac:dyDescent="0.2">
      <c r="B47" s="93"/>
      <c r="F47" s="94"/>
    </row>
    <row r="48" spans="2:6" ht="14" x14ac:dyDescent="0.2">
      <c r="B48" s="93"/>
      <c r="C48" s="95" t="s">
        <v>17</v>
      </c>
      <c r="E48" s="95" t="s">
        <v>18</v>
      </c>
      <c r="F48" s="94"/>
    </row>
    <row r="49" spans="1:7" ht="150" x14ac:dyDescent="0.2">
      <c r="A49" s="97"/>
      <c r="B49" s="98"/>
      <c r="C49" s="136" t="s">
        <v>197</v>
      </c>
      <c r="D49" s="15" t="s">
        <v>20</v>
      </c>
      <c r="E49" s="121" t="s">
        <v>198</v>
      </c>
      <c r="F49" s="100"/>
      <c r="G49" s="97"/>
    </row>
    <row r="50" spans="1:7" ht="22.5" customHeight="1" x14ac:dyDescent="0.2">
      <c r="B50" s="93"/>
      <c r="F50" s="94"/>
    </row>
    <row r="51" spans="1:7" ht="14" customHeight="1" x14ac:dyDescent="0.2">
      <c r="B51" s="296" t="s">
        <v>576</v>
      </c>
      <c r="C51" s="288"/>
      <c r="D51" s="288"/>
      <c r="E51" s="288"/>
      <c r="F51" s="297"/>
    </row>
    <row r="52" spans="1:7" ht="14" customHeight="1" x14ac:dyDescent="0.2">
      <c r="B52" s="296"/>
      <c r="C52" s="288"/>
      <c r="D52" s="288"/>
      <c r="E52" s="288"/>
      <c r="F52" s="297"/>
    </row>
    <row r="53" spans="1:7" ht="14" x14ac:dyDescent="0.2">
      <c r="B53" s="296"/>
      <c r="C53" s="288"/>
      <c r="D53" s="288"/>
      <c r="E53" s="288"/>
      <c r="F53" s="297"/>
    </row>
    <row r="54" spans="1:7" ht="8.25" customHeight="1" x14ac:dyDescent="0.2">
      <c r="B54" s="93"/>
      <c r="F54" s="94"/>
    </row>
    <row r="55" spans="1:7" ht="14" x14ac:dyDescent="0.2">
      <c r="B55" s="93"/>
      <c r="C55" s="95" t="s">
        <v>17</v>
      </c>
      <c r="E55" s="95" t="s">
        <v>18</v>
      </c>
      <c r="F55" s="94"/>
    </row>
    <row r="56" spans="1:7" ht="270" x14ac:dyDescent="0.2">
      <c r="B56" s="93"/>
      <c r="C56" s="99" t="s">
        <v>199</v>
      </c>
      <c r="D56" s="15" t="s">
        <v>20</v>
      </c>
      <c r="E56" s="99" t="s">
        <v>200</v>
      </c>
      <c r="F56" s="94"/>
    </row>
    <row r="57" spans="1:7" ht="22.5" customHeight="1" x14ac:dyDescent="0.2">
      <c r="B57" s="93"/>
      <c r="F57" s="94"/>
    </row>
    <row r="58" spans="1:7" ht="14" x14ac:dyDescent="0.2">
      <c r="B58" s="344" t="s">
        <v>201</v>
      </c>
      <c r="C58" s="283"/>
      <c r="D58" s="283"/>
      <c r="E58" s="283"/>
      <c r="F58" s="284"/>
    </row>
    <row r="59" spans="1:7" ht="8.25" customHeight="1" x14ac:dyDescent="0.2">
      <c r="B59" s="93"/>
      <c r="F59" s="94"/>
    </row>
    <row r="60" spans="1:7" ht="14" x14ac:dyDescent="0.2">
      <c r="B60" s="93"/>
      <c r="C60" s="95" t="s">
        <v>17</v>
      </c>
      <c r="E60" s="95" t="s">
        <v>18</v>
      </c>
      <c r="F60" s="94"/>
    </row>
    <row r="61" spans="1:7" ht="356" x14ac:dyDescent="0.2">
      <c r="A61" s="97"/>
      <c r="B61" s="98"/>
      <c r="C61" s="136" t="s">
        <v>202</v>
      </c>
      <c r="D61" s="15" t="s">
        <v>20</v>
      </c>
      <c r="E61" s="121" t="s">
        <v>203</v>
      </c>
      <c r="F61" s="100"/>
      <c r="G61" s="97"/>
    </row>
    <row r="62" spans="1:7" ht="22.5" customHeight="1" x14ac:dyDescent="0.2">
      <c r="B62" s="93"/>
      <c r="F62" s="94"/>
    </row>
    <row r="63" spans="1:7" ht="15" thickBot="1" x14ac:dyDescent="0.25">
      <c r="B63" s="345" t="s">
        <v>33</v>
      </c>
      <c r="C63" s="340"/>
      <c r="D63" s="340"/>
      <c r="E63" s="340"/>
      <c r="F63" s="341"/>
    </row>
    <row r="65" spans="1:7" ht="15.75" customHeight="1" x14ac:dyDescent="0.2">
      <c r="E65" s="299" t="s">
        <v>204</v>
      </c>
      <c r="F65" s="281"/>
    </row>
    <row r="66" spans="1:7" ht="33.75" customHeight="1" thickBot="1" x14ac:dyDescent="0.25"/>
    <row r="67" spans="1:7" ht="29.25" customHeight="1" x14ac:dyDescent="0.2">
      <c r="B67" s="300" t="s">
        <v>14</v>
      </c>
      <c r="C67" s="301"/>
      <c r="D67" s="301"/>
      <c r="E67" s="302"/>
      <c r="F67" s="303"/>
    </row>
    <row r="68" spans="1:7" ht="14" customHeight="1" x14ac:dyDescent="0.2">
      <c r="B68" s="296" t="s">
        <v>528</v>
      </c>
      <c r="C68" s="288"/>
      <c r="D68" s="288"/>
      <c r="E68" s="288"/>
      <c r="F68" s="297"/>
    </row>
    <row r="69" spans="1:7" ht="14" x14ac:dyDescent="0.2">
      <c r="B69" s="296"/>
      <c r="C69" s="288"/>
      <c r="D69" s="288"/>
      <c r="E69" s="288"/>
      <c r="F69" s="297"/>
    </row>
    <row r="70" spans="1:7" ht="14" x14ac:dyDescent="0.2">
      <c r="B70" s="296"/>
      <c r="C70" s="288"/>
      <c r="D70" s="288"/>
      <c r="E70" s="288"/>
      <c r="F70" s="297"/>
    </row>
    <row r="71" spans="1:7" ht="8.25" customHeight="1" x14ac:dyDescent="0.2">
      <c r="B71" s="93"/>
      <c r="F71" s="94"/>
    </row>
    <row r="72" spans="1:7" ht="14" x14ac:dyDescent="0.2">
      <c r="B72" s="93"/>
      <c r="C72" s="95" t="s">
        <v>17</v>
      </c>
      <c r="E72" s="95" t="s">
        <v>18</v>
      </c>
      <c r="F72" s="94"/>
    </row>
    <row r="73" spans="1:7" ht="120" x14ac:dyDescent="0.2">
      <c r="B73" s="93"/>
      <c r="C73" s="220" t="s">
        <v>186</v>
      </c>
      <c r="D73" s="12" t="s">
        <v>20</v>
      </c>
      <c r="E73" s="236" t="s">
        <v>577</v>
      </c>
      <c r="F73" s="94"/>
    </row>
    <row r="74" spans="1:7" ht="8.25" customHeight="1" x14ac:dyDescent="0.2">
      <c r="B74" s="282"/>
      <c r="C74" s="283"/>
      <c r="D74" s="283"/>
      <c r="E74" s="283"/>
      <c r="F74" s="284"/>
    </row>
    <row r="75" spans="1:7" ht="180" x14ac:dyDescent="0.2">
      <c r="A75" s="97"/>
      <c r="B75" s="98"/>
      <c r="C75" s="222" t="s">
        <v>188</v>
      </c>
      <c r="D75" s="15" t="s">
        <v>20</v>
      </c>
      <c r="E75" s="233" t="s">
        <v>189</v>
      </c>
      <c r="F75" s="100"/>
      <c r="G75" s="97"/>
    </row>
    <row r="76" spans="1:7" ht="8.25" customHeight="1" x14ac:dyDescent="0.2">
      <c r="B76" s="93"/>
      <c r="F76" s="94"/>
    </row>
    <row r="77" spans="1:7" ht="210" x14ac:dyDescent="0.2">
      <c r="B77" s="93"/>
      <c r="C77" s="219" t="s">
        <v>190</v>
      </c>
      <c r="D77" s="15" t="s">
        <v>20</v>
      </c>
      <c r="E77" s="237" t="s">
        <v>191</v>
      </c>
      <c r="F77" s="94"/>
    </row>
    <row r="78" spans="1:7" ht="8.25" customHeight="1" x14ac:dyDescent="0.2">
      <c r="B78" s="93"/>
      <c r="F78" s="94"/>
    </row>
    <row r="79" spans="1:7" ht="135" x14ac:dyDescent="0.2">
      <c r="B79" s="93"/>
      <c r="C79" s="219" t="s">
        <v>194</v>
      </c>
      <c r="D79" s="12" t="s">
        <v>20</v>
      </c>
      <c r="E79" s="237" t="s">
        <v>195</v>
      </c>
      <c r="F79" s="94"/>
    </row>
    <row r="80" spans="1:7" ht="8.25" customHeight="1" x14ac:dyDescent="0.2">
      <c r="B80" s="93"/>
      <c r="F80" s="94"/>
    </row>
    <row r="81" spans="1:7" ht="150" x14ac:dyDescent="0.2">
      <c r="A81" s="97"/>
      <c r="B81" s="98"/>
      <c r="C81" s="222" t="s">
        <v>197</v>
      </c>
      <c r="D81" s="15" t="s">
        <v>20</v>
      </c>
      <c r="E81" s="233" t="s">
        <v>198</v>
      </c>
      <c r="F81" s="100"/>
      <c r="G81" s="97"/>
    </row>
    <row r="82" spans="1:7" ht="8.25" customHeight="1" x14ac:dyDescent="0.2">
      <c r="B82" s="93"/>
      <c r="F82" s="94"/>
    </row>
    <row r="83" spans="1:7" ht="270" x14ac:dyDescent="0.2">
      <c r="B83" s="93"/>
      <c r="C83" s="219" t="s">
        <v>199</v>
      </c>
      <c r="D83" s="15" t="s">
        <v>20</v>
      </c>
      <c r="E83" s="237" t="s">
        <v>205</v>
      </c>
      <c r="F83" s="94"/>
    </row>
    <row r="84" spans="1:7" ht="8.25" customHeight="1" x14ac:dyDescent="0.2">
      <c r="B84" s="93"/>
      <c r="F84" s="94"/>
    </row>
    <row r="85" spans="1:7" ht="356" x14ac:dyDescent="0.2">
      <c r="A85" s="97"/>
      <c r="B85" s="98"/>
      <c r="C85" s="222" t="s">
        <v>202</v>
      </c>
      <c r="D85" s="15" t="s">
        <v>20</v>
      </c>
      <c r="E85" s="233" t="s">
        <v>203</v>
      </c>
      <c r="F85" s="100"/>
      <c r="G85" s="97"/>
    </row>
    <row r="86" spans="1:7" ht="15" thickBot="1" x14ac:dyDescent="0.25">
      <c r="B86" s="103"/>
      <c r="C86" s="40"/>
      <c r="D86" s="40"/>
      <c r="E86" s="40"/>
      <c r="F86" s="104"/>
    </row>
    <row r="88" spans="1:7" ht="16" x14ac:dyDescent="0.2">
      <c r="B88" s="281" t="s">
        <v>206</v>
      </c>
      <c r="C88" s="281"/>
      <c r="D88" s="281"/>
      <c r="E88" s="299" t="s">
        <v>204</v>
      </c>
      <c r="F88" s="281"/>
    </row>
    <row r="89" spans="1:7" ht="8.25" customHeight="1" x14ac:dyDescent="0.2"/>
    <row r="90" spans="1:7" ht="16" x14ac:dyDescent="0.2">
      <c r="B90" s="280" t="s">
        <v>37</v>
      </c>
      <c r="C90" s="281"/>
      <c r="D90" s="281"/>
      <c r="E90" s="281"/>
      <c r="F90" s="281"/>
    </row>
  </sheetData>
  <sheetProtection algorithmName="SHA-512" hashValue="qoMeNuMMj+EeBIXOC2Io+6lCf5xplEZ+8EQOTuTWLoAp1TAbOkjpMX6bmVHCN6z7U9ketDYjcISMokgJAldzYQ==" saltValue="4XQ66T5qWF7HNHWbg42kFQ==" spinCount="100000" sheet="1" objects="1" scenarios="1"/>
  <mergeCells count="23">
    <mergeCell ref="B11:D11"/>
    <mergeCell ref="E11:F11"/>
    <mergeCell ref="B4:F9"/>
    <mergeCell ref="B17:F20"/>
    <mergeCell ref="B1:E1"/>
    <mergeCell ref="B3:D3"/>
    <mergeCell ref="E3:F3"/>
    <mergeCell ref="B12:F12"/>
    <mergeCell ref="B25:F31"/>
    <mergeCell ref="B36:F38"/>
    <mergeCell ref="B40:F41"/>
    <mergeCell ref="E65:F65"/>
    <mergeCell ref="B46:F46"/>
    <mergeCell ref="B51:F53"/>
    <mergeCell ref="B58:F58"/>
    <mergeCell ref="B63:F63"/>
    <mergeCell ref="B67:D67"/>
    <mergeCell ref="E67:F67"/>
    <mergeCell ref="B74:F74"/>
    <mergeCell ref="B68:F70"/>
    <mergeCell ref="B90:F90"/>
    <mergeCell ref="B88:D88"/>
    <mergeCell ref="E88:F88"/>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89" customWidth="1"/>
    <col min="2" max="2" width="3" style="89" customWidth="1"/>
    <col min="3" max="3" width="22.83203125" style="89" customWidth="1"/>
    <col min="4" max="4" width="4" style="89" customWidth="1"/>
    <col min="5" max="5" width="20.83203125" style="89" customWidth="1"/>
    <col min="6" max="6" width="4" style="89" customWidth="1"/>
    <col min="7" max="7" width="35.83203125" style="89" customWidth="1"/>
    <col min="8" max="8" width="4" style="89" customWidth="1"/>
    <col min="9" max="9" width="38.6640625" style="89" customWidth="1"/>
    <col min="10" max="10" width="4" style="89" customWidth="1"/>
    <col min="11" max="11" width="17.5" style="89" bestFit="1" customWidth="1"/>
    <col min="12" max="12" width="3" style="89" customWidth="1"/>
    <col min="13" max="13" width="5.5" style="89" customWidth="1"/>
    <col min="14" max="16384" width="12.6640625" style="89"/>
  </cols>
  <sheetData>
    <row r="1" spans="1:13" ht="40" customHeight="1" x14ac:dyDescent="0.2">
      <c r="A1" s="88"/>
      <c r="B1" s="352" t="s">
        <v>207</v>
      </c>
      <c r="C1" s="283"/>
      <c r="D1" s="283"/>
      <c r="E1" s="283"/>
      <c r="F1" s="283"/>
      <c r="G1" s="283"/>
      <c r="H1" s="283"/>
      <c r="I1" s="283"/>
      <c r="J1" s="87"/>
      <c r="K1" s="87"/>
      <c r="L1" s="22"/>
      <c r="M1" s="22"/>
    </row>
    <row r="2" spans="1:13" ht="21.75" customHeight="1" thickBot="1" x14ac:dyDescent="0.25">
      <c r="D2" s="22"/>
      <c r="F2" s="22"/>
      <c r="G2" s="97"/>
      <c r="H2" s="22"/>
      <c r="I2" s="22"/>
      <c r="J2" s="22"/>
      <c r="K2" s="22"/>
    </row>
    <row r="3" spans="1:13" ht="29.25" customHeight="1" x14ac:dyDescent="0.2">
      <c r="B3" s="300" t="s">
        <v>208</v>
      </c>
      <c r="C3" s="301"/>
      <c r="D3" s="301"/>
      <c r="E3" s="301"/>
      <c r="F3" s="24"/>
      <c r="G3" s="127"/>
      <c r="H3" s="24"/>
      <c r="I3" s="302"/>
      <c r="J3" s="301"/>
      <c r="K3" s="301"/>
      <c r="L3" s="303"/>
    </row>
    <row r="4" spans="1:13" ht="14" x14ac:dyDescent="0.2">
      <c r="B4" s="351" t="s">
        <v>210</v>
      </c>
      <c r="C4" s="283"/>
      <c r="D4" s="283"/>
      <c r="E4" s="283"/>
      <c r="F4" s="283"/>
      <c r="G4" s="283"/>
      <c r="H4" s="283"/>
      <c r="I4" s="283"/>
      <c r="J4" s="283"/>
      <c r="K4" s="283"/>
      <c r="L4" s="284"/>
    </row>
    <row r="5" spans="1:13" ht="64" x14ac:dyDescent="0.2">
      <c r="B5" s="92"/>
      <c r="C5" s="148" t="s">
        <v>211</v>
      </c>
      <c r="D5" s="148"/>
      <c r="E5" s="148"/>
      <c r="F5" s="148"/>
      <c r="G5" s="148"/>
      <c r="H5" s="148"/>
      <c r="I5" s="148"/>
      <c r="J5" s="148"/>
      <c r="K5" s="148"/>
      <c r="L5" s="110"/>
    </row>
    <row r="6" spans="1:13" ht="11.25" customHeight="1" x14ac:dyDescent="0.2">
      <c r="B6" s="93"/>
      <c r="D6" s="22"/>
      <c r="F6" s="22"/>
      <c r="G6" s="97"/>
      <c r="H6" s="22"/>
      <c r="I6" s="22"/>
      <c r="J6" s="22"/>
      <c r="K6" s="22"/>
      <c r="L6" s="94"/>
    </row>
    <row r="7" spans="1:13" ht="14" customHeight="1" x14ac:dyDescent="0.2">
      <c r="B7" s="296" t="s">
        <v>578</v>
      </c>
      <c r="C7" s="288"/>
      <c r="D7" s="288"/>
      <c r="E7" s="288"/>
      <c r="F7" s="288"/>
      <c r="G7" s="288"/>
      <c r="H7" s="288"/>
      <c r="I7" s="288"/>
      <c r="J7" s="288"/>
      <c r="K7" s="288"/>
      <c r="L7" s="297"/>
    </row>
    <row r="8" spans="1:13" ht="15" customHeight="1" x14ac:dyDescent="0.2">
      <c r="B8" s="296"/>
      <c r="C8" s="288"/>
      <c r="D8" s="288"/>
      <c r="E8" s="288"/>
      <c r="F8" s="288"/>
      <c r="G8" s="288"/>
      <c r="H8" s="288"/>
      <c r="I8" s="288"/>
      <c r="J8" s="288"/>
      <c r="K8" s="288"/>
      <c r="L8" s="297"/>
    </row>
    <row r="9" spans="1:13" ht="15" customHeight="1" x14ac:dyDescent="0.2">
      <c r="B9" s="296"/>
      <c r="C9" s="288"/>
      <c r="D9" s="288"/>
      <c r="E9" s="288"/>
      <c r="F9" s="288"/>
      <c r="G9" s="288"/>
      <c r="H9" s="288"/>
      <c r="I9" s="288"/>
      <c r="J9" s="288"/>
      <c r="K9" s="288"/>
      <c r="L9" s="297"/>
    </row>
    <row r="10" spans="1:13" ht="15" customHeight="1" x14ac:dyDescent="0.2">
      <c r="B10" s="296"/>
      <c r="C10" s="288"/>
      <c r="D10" s="288"/>
      <c r="E10" s="288"/>
      <c r="F10" s="288"/>
      <c r="G10" s="288"/>
      <c r="H10" s="288"/>
      <c r="I10" s="288"/>
      <c r="J10" s="288"/>
      <c r="K10" s="288"/>
      <c r="L10" s="297"/>
    </row>
    <row r="11" spans="1:13" ht="11.25" customHeight="1" x14ac:dyDescent="0.2">
      <c r="B11" s="93"/>
      <c r="D11" s="22"/>
      <c r="F11" s="22"/>
      <c r="G11" s="97"/>
      <c r="H11" s="22"/>
      <c r="I11" s="22"/>
      <c r="J11" s="22"/>
      <c r="K11" s="22"/>
      <c r="L11" s="94"/>
    </row>
    <row r="12" spans="1:13" ht="14" x14ac:dyDescent="0.2">
      <c r="B12" s="344" t="s">
        <v>212</v>
      </c>
      <c r="C12" s="283"/>
      <c r="D12" s="283"/>
      <c r="E12" s="283"/>
      <c r="F12" s="283"/>
      <c r="G12" s="283"/>
      <c r="H12" s="283"/>
      <c r="I12" s="283"/>
      <c r="J12" s="283"/>
      <c r="K12" s="283"/>
      <c r="L12" s="284"/>
    </row>
    <row r="13" spans="1:13" ht="8.25" customHeight="1" x14ac:dyDescent="0.2">
      <c r="B13" s="93"/>
      <c r="D13" s="22"/>
      <c r="F13" s="22"/>
      <c r="G13" s="97"/>
      <c r="H13" s="22"/>
      <c r="I13" s="22"/>
      <c r="J13" s="22"/>
      <c r="K13" s="22"/>
      <c r="L13" s="94"/>
    </row>
    <row r="14" spans="1:13" ht="17" thickBot="1" x14ac:dyDescent="0.25">
      <c r="A14" s="28"/>
      <c r="B14" s="128"/>
      <c r="C14" s="149" t="s">
        <v>100</v>
      </c>
      <c r="D14" s="28"/>
      <c r="E14" s="129" t="s">
        <v>213</v>
      </c>
      <c r="F14" s="28"/>
      <c r="G14" s="130" t="s">
        <v>102</v>
      </c>
      <c r="H14" s="28"/>
      <c r="I14" s="129" t="s">
        <v>18</v>
      </c>
      <c r="J14" s="129"/>
      <c r="K14" s="129" t="s">
        <v>214</v>
      </c>
      <c r="L14" s="131"/>
      <c r="M14" s="28"/>
    </row>
    <row r="15" spans="1:13" ht="120" x14ac:dyDescent="0.2">
      <c r="B15" s="150"/>
      <c r="C15" s="366" t="s">
        <v>618</v>
      </c>
      <c r="D15" s="50" t="s">
        <v>104</v>
      </c>
      <c r="E15" s="224" t="s">
        <v>215</v>
      </c>
      <c r="F15" s="34" t="s">
        <v>106</v>
      </c>
      <c r="G15" s="117" t="str">
        <f>SUBSTITUTE($C$15,"{{EMAIL}}",E15)</f>
        <v xml:space="preserve">
Human: Please classify this email: Hi -- My Mixmaster4000 is producing a strange noise when I operate it. It also smells a bit smoky and plasticky, like burning electronics.  I need a replacement.
Assistant:</v>
      </c>
      <c r="H15" s="12" t="s">
        <v>20</v>
      </c>
      <c r="I15" s="237" t="s">
        <v>619</v>
      </c>
      <c r="J15" s="97"/>
      <c r="K15" s="51" t="s">
        <v>216</v>
      </c>
      <c r="L15" s="94"/>
    </row>
    <row r="16" spans="1:13" ht="8.25" customHeight="1" x14ac:dyDescent="0.2">
      <c r="B16" s="150"/>
      <c r="C16" s="367"/>
      <c r="D16" s="52"/>
      <c r="F16" s="22"/>
      <c r="G16" s="97"/>
      <c r="H16" s="22"/>
      <c r="I16" s="22"/>
      <c r="J16" s="22"/>
      <c r="K16" s="22"/>
      <c r="L16" s="94"/>
    </row>
    <row r="17" spans="2:12" ht="105" x14ac:dyDescent="0.2">
      <c r="B17" s="150"/>
      <c r="C17" s="367"/>
      <c r="D17" s="50" t="s">
        <v>104</v>
      </c>
      <c r="E17" s="224" t="s">
        <v>217</v>
      </c>
      <c r="F17" s="34" t="s">
        <v>106</v>
      </c>
      <c r="G17" s="117" t="str">
        <f>SUBSTITUTE($C$15,"{{EMAIL}}",E17)</f>
        <v xml:space="preserve">
Human: Please classify this email: Can I use my Mixmaster 4000 to mix paint, or is it only meant for mixing food?
Assistant:</v>
      </c>
      <c r="H17" s="12" t="s">
        <v>20</v>
      </c>
      <c r="I17" s="237" t="s">
        <v>620</v>
      </c>
      <c r="J17" s="97"/>
      <c r="K17" s="51" t="s">
        <v>218</v>
      </c>
      <c r="L17" s="94"/>
    </row>
    <row r="18" spans="2:12" ht="8.25" customHeight="1" x14ac:dyDescent="0.2">
      <c r="B18" s="150"/>
      <c r="C18" s="367"/>
      <c r="D18" s="52"/>
      <c r="F18" s="22"/>
      <c r="G18" s="97"/>
      <c r="H18" s="22"/>
      <c r="I18" s="22"/>
      <c r="J18" s="22"/>
      <c r="K18" s="22"/>
      <c r="L18" s="94"/>
    </row>
    <row r="19" spans="2:12" ht="120" x14ac:dyDescent="0.2">
      <c r="B19" s="93"/>
      <c r="C19" s="367"/>
      <c r="D19" s="50" t="s">
        <v>104</v>
      </c>
      <c r="E19" s="224" t="s">
        <v>219</v>
      </c>
      <c r="F19" s="34" t="s">
        <v>106</v>
      </c>
      <c r="G19" s="117" t="str">
        <f>SUBSTITUTE($C$15,"{{EMAIL}}",E19)</f>
        <v xml:space="preserve">
Human: Please classify this email: I HAVE BEEN WAITING 4 MONTHS FOR MY MONTHLY CHARGES TO END AFTER CANCELLING!!  WTF IS GOING ON???
Assistant:</v>
      </c>
      <c r="H19" s="12" t="s">
        <v>20</v>
      </c>
      <c r="I19" s="237" t="s">
        <v>621</v>
      </c>
      <c r="J19" s="97"/>
      <c r="K19" s="51" t="s">
        <v>220</v>
      </c>
      <c r="L19" s="94"/>
    </row>
    <row r="20" spans="2:12" ht="8.25" customHeight="1" x14ac:dyDescent="0.2">
      <c r="B20" s="93"/>
      <c r="C20" s="367"/>
      <c r="D20" s="52"/>
      <c r="F20" s="22"/>
      <c r="G20" s="97"/>
      <c r="H20" s="22"/>
      <c r="I20" s="22"/>
      <c r="J20" s="22"/>
      <c r="K20" s="22"/>
      <c r="L20" s="94"/>
    </row>
    <row r="21" spans="2:12" ht="121" thickBot="1" x14ac:dyDescent="0.25">
      <c r="B21" s="93"/>
      <c r="C21" s="368"/>
      <c r="D21" s="50" t="s">
        <v>104</v>
      </c>
      <c r="E21" s="224" t="s">
        <v>221</v>
      </c>
      <c r="F21" s="34" t="s">
        <v>106</v>
      </c>
      <c r="G21" s="117" t="str">
        <f>SUBSTITUTE($C$15,"{{EMAIL}}",E21)</f>
        <v xml:space="preserve">
Human: Please classify this email: How did I get here I am not good with computer.  Halp.
Assistant:</v>
      </c>
      <c r="H21" s="12" t="s">
        <v>20</v>
      </c>
      <c r="I21" s="237" t="s">
        <v>622</v>
      </c>
      <c r="J21" s="97"/>
      <c r="K21" s="51" t="s">
        <v>222</v>
      </c>
      <c r="L21" s="94"/>
    </row>
    <row r="22" spans="2:12" ht="15.75" customHeight="1" x14ac:dyDescent="0.2">
      <c r="B22" s="93"/>
      <c r="C22" s="37"/>
      <c r="D22" s="12"/>
      <c r="E22" s="97"/>
      <c r="F22" s="22"/>
      <c r="G22" s="97"/>
      <c r="H22" s="22"/>
      <c r="I22" s="97"/>
      <c r="J22" s="97"/>
      <c r="K22" s="97"/>
      <c r="L22" s="94"/>
    </row>
    <row r="23" spans="2:12" ht="14" customHeight="1" x14ac:dyDescent="0.2">
      <c r="B23" s="359" t="s">
        <v>223</v>
      </c>
      <c r="C23" s="360"/>
      <c r="D23" s="360"/>
      <c r="E23" s="360"/>
      <c r="F23" s="360"/>
      <c r="G23" s="360"/>
      <c r="H23" s="360"/>
      <c r="I23" s="360"/>
      <c r="J23" s="360"/>
      <c r="K23" s="360"/>
      <c r="L23" s="361"/>
    </row>
    <row r="24" spans="2:12" ht="14" x14ac:dyDescent="0.2">
      <c r="B24" s="359"/>
      <c r="C24" s="360"/>
      <c r="D24" s="360"/>
      <c r="E24" s="360"/>
      <c r="F24" s="360"/>
      <c r="G24" s="360"/>
      <c r="H24" s="360"/>
      <c r="I24" s="360"/>
      <c r="J24" s="360"/>
      <c r="K24" s="360"/>
      <c r="L24" s="361"/>
    </row>
    <row r="25" spans="2:12" ht="11.25" customHeight="1" x14ac:dyDescent="0.2">
      <c r="B25" s="93"/>
      <c r="C25" s="37"/>
      <c r="D25" s="12"/>
      <c r="E25" s="97"/>
      <c r="F25" s="22"/>
      <c r="G25" s="97"/>
      <c r="H25" s="22"/>
      <c r="I25" s="97"/>
      <c r="J25" s="97"/>
      <c r="K25" s="97"/>
      <c r="L25" s="94"/>
    </row>
    <row r="26" spans="2:12" ht="16" collapsed="1" thickBot="1" x14ac:dyDescent="0.25">
      <c r="B26" s="84" t="s">
        <v>42</v>
      </c>
      <c r="C26" s="332" t="s">
        <v>43</v>
      </c>
      <c r="D26" s="283"/>
      <c r="E26" s="283"/>
      <c r="F26" s="283"/>
      <c r="G26" s="283"/>
      <c r="H26" s="283"/>
      <c r="I26" s="283"/>
      <c r="J26" s="283"/>
      <c r="K26" s="283"/>
      <c r="L26" s="284"/>
    </row>
    <row r="27" spans="2:12" ht="19.5" hidden="1" customHeight="1" outlineLevel="1" x14ac:dyDescent="0.2">
      <c r="B27" s="365" t="s">
        <v>224</v>
      </c>
      <c r="C27" s="283"/>
      <c r="D27" s="283"/>
      <c r="E27" s="283"/>
      <c r="F27" s="283"/>
      <c r="G27" s="283"/>
      <c r="H27" s="283"/>
      <c r="I27" s="283"/>
      <c r="J27" s="283"/>
      <c r="K27" s="283"/>
      <c r="L27" s="284"/>
    </row>
    <row r="28" spans="2:12" ht="35.25" hidden="1" customHeight="1" outlineLevel="1" x14ac:dyDescent="0.2">
      <c r="B28" s="139" t="s">
        <v>176</v>
      </c>
      <c r="C28" s="395" t="s">
        <v>225</v>
      </c>
      <c r="D28" s="283"/>
      <c r="E28" s="283"/>
      <c r="F28" s="283"/>
      <c r="G28" s="283"/>
      <c r="H28" s="283"/>
      <c r="I28" s="283"/>
      <c r="J28" s="283"/>
      <c r="K28" s="283"/>
      <c r="L28" s="284"/>
    </row>
    <row r="29" spans="2:12" ht="61.5" hidden="1" customHeight="1" outlineLevel="1" x14ac:dyDescent="0.2">
      <c r="B29" s="139" t="s">
        <v>178</v>
      </c>
      <c r="C29" s="395" t="s">
        <v>226</v>
      </c>
      <c r="D29" s="283"/>
      <c r="E29" s="283"/>
      <c r="F29" s="283"/>
      <c r="G29" s="283"/>
      <c r="H29" s="283"/>
      <c r="I29" s="283"/>
      <c r="J29" s="283"/>
      <c r="K29" s="283"/>
      <c r="L29" s="284"/>
    </row>
    <row r="30" spans="2:12" ht="33" hidden="1" customHeight="1" outlineLevel="1" x14ac:dyDescent="0.2">
      <c r="B30" s="139" t="s">
        <v>180</v>
      </c>
      <c r="C30" s="395" t="s">
        <v>227</v>
      </c>
      <c r="D30" s="283"/>
      <c r="E30" s="283"/>
      <c r="F30" s="283"/>
      <c r="G30" s="283"/>
      <c r="H30" s="283"/>
      <c r="I30" s="283"/>
      <c r="J30" s="283"/>
      <c r="K30" s="283"/>
      <c r="L30" s="284"/>
    </row>
    <row r="31" spans="2:12" ht="20.25" hidden="1" customHeight="1" outlineLevel="1" x14ac:dyDescent="0.2">
      <c r="B31" s="139" t="s">
        <v>228</v>
      </c>
      <c r="C31" s="395" t="s">
        <v>229</v>
      </c>
      <c r="D31" s="283"/>
      <c r="E31" s="283"/>
      <c r="F31" s="283"/>
      <c r="G31" s="283"/>
      <c r="H31" s="283"/>
      <c r="I31" s="283"/>
      <c r="J31" s="283"/>
      <c r="K31" s="283"/>
      <c r="L31" s="284"/>
    </row>
    <row r="32" spans="2:12" ht="16" hidden="1" outlineLevel="1" thickBot="1" x14ac:dyDescent="0.25">
      <c r="B32" s="90"/>
      <c r="C32" s="402"/>
      <c r="D32" s="283"/>
      <c r="E32" s="283"/>
      <c r="F32" s="283"/>
      <c r="G32" s="283"/>
      <c r="H32" s="283"/>
      <c r="I32" s="283"/>
      <c r="J32" s="283"/>
      <c r="K32" s="283"/>
      <c r="L32" s="284"/>
    </row>
    <row r="33" spans="2:12" ht="33" hidden="1" outlineLevel="1" collapsed="1" thickBot="1" x14ac:dyDescent="0.25">
      <c r="B33" s="92" t="s">
        <v>230</v>
      </c>
      <c r="C33" s="403" t="s">
        <v>231</v>
      </c>
      <c r="D33" s="283"/>
      <c r="E33" s="283"/>
      <c r="F33" s="283"/>
      <c r="G33" s="283"/>
      <c r="H33" s="283"/>
      <c r="I33" s="283"/>
      <c r="J33" s="283"/>
      <c r="K33" s="283"/>
      <c r="L33" s="284"/>
    </row>
    <row r="34" spans="2:12" ht="15" hidden="1" outlineLevel="2" thickBot="1" x14ac:dyDescent="0.25">
      <c r="B34" s="365" t="s">
        <v>232</v>
      </c>
      <c r="C34" s="283"/>
      <c r="D34" s="283"/>
      <c r="E34" s="283"/>
      <c r="F34" s="283"/>
      <c r="G34" s="283"/>
      <c r="H34" s="283"/>
      <c r="I34" s="283"/>
      <c r="J34" s="283"/>
      <c r="K34" s="283"/>
      <c r="L34" s="284"/>
    </row>
    <row r="35" spans="2:12" ht="16" hidden="1" outlineLevel="2" thickBot="1" x14ac:dyDescent="0.25">
      <c r="B35" s="90"/>
      <c r="C35" s="37"/>
      <c r="D35" s="37"/>
      <c r="E35" s="37"/>
      <c r="F35" s="37"/>
      <c r="G35" s="37"/>
      <c r="H35" s="37"/>
      <c r="I35" s="37"/>
      <c r="J35" s="37"/>
      <c r="K35" s="37"/>
      <c r="L35" s="91"/>
    </row>
    <row r="36" spans="2:12" ht="16" hidden="1" outlineLevel="2" thickBot="1" x14ac:dyDescent="0.25">
      <c r="B36" s="90"/>
      <c r="C36" s="404" t="s">
        <v>233</v>
      </c>
      <c r="D36" s="405"/>
      <c r="E36" s="405"/>
      <c r="F36" s="151"/>
      <c r="G36" s="152"/>
      <c r="H36" s="129"/>
      <c r="I36" s="129" t="s">
        <v>234</v>
      </c>
      <c r="J36" s="37"/>
      <c r="K36" s="37"/>
      <c r="L36" s="91"/>
    </row>
    <row r="37" spans="2:12" ht="16" hidden="1" outlineLevel="2" thickBot="1" x14ac:dyDescent="0.25">
      <c r="B37" s="153"/>
      <c r="C37" s="406" t="s">
        <v>235</v>
      </c>
      <c r="D37" s="283"/>
      <c r="E37" s="283"/>
      <c r="F37" s="283"/>
      <c r="G37" s="283"/>
      <c r="H37" s="154"/>
      <c r="I37" s="155" t="s">
        <v>236</v>
      </c>
      <c r="J37" s="37"/>
      <c r="K37" s="37"/>
      <c r="L37" s="91"/>
    </row>
    <row r="38" spans="2:12" ht="16" hidden="1" outlineLevel="2" thickBot="1" x14ac:dyDescent="0.25">
      <c r="B38" s="153"/>
      <c r="C38" s="283"/>
      <c r="D38" s="283"/>
      <c r="E38" s="283"/>
      <c r="F38" s="283"/>
      <c r="G38" s="283"/>
      <c r="H38" s="154"/>
      <c r="I38" s="156" t="s">
        <v>237</v>
      </c>
      <c r="J38" s="37"/>
      <c r="K38" s="37"/>
      <c r="L38" s="91"/>
    </row>
    <row r="39" spans="2:12" ht="16" hidden="1" outlineLevel="2" thickBot="1" x14ac:dyDescent="0.25">
      <c r="B39" s="153"/>
      <c r="C39" s="283"/>
      <c r="D39" s="283"/>
      <c r="E39" s="283"/>
      <c r="F39" s="283"/>
      <c r="G39" s="283"/>
      <c r="H39" s="154"/>
      <c r="I39" s="157" t="s">
        <v>238</v>
      </c>
      <c r="J39" s="37"/>
      <c r="K39" s="37"/>
      <c r="L39" s="91"/>
    </row>
    <row r="40" spans="2:12" ht="64.5" hidden="1" customHeight="1" outlineLevel="2" x14ac:dyDescent="0.2">
      <c r="B40" s="153"/>
      <c r="C40" s="283"/>
      <c r="D40" s="283"/>
      <c r="E40" s="283"/>
      <c r="F40" s="283"/>
      <c r="G40" s="283"/>
      <c r="H40" s="154"/>
      <c r="I40" s="158" t="s">
        <v>239</v>
      </c>
      <c r="J40" s="37"/>
      <c r="K40" s="37"/>
      <c r="L40" s="91"/>
    </row>
    <row r="41" spans="2:12" ht="64.5" hidden="1" customHeight="1" outlineLevel="2" x14ac:dyDescent="0.2">
      <c r="B41" s="90"/>
      <c r="C41" s="283"/>
      <c r="D41" s="283"/>
      <c r="E41" s="283"/>
      <c r="F41" s="283"/>
      <c r="G41" s="283"/>
      <c r="H41" s="154"/>
      <c r="I41" s="158"/>
      <c r="J41" s="37"/>
      <c r="K41" s="37"/>
      <c r="L41" s="91"/>
    </row>
    <row r="42" spans="2:12" ht="16" hidden="1" outlineLevel="2" thickBot="1" x14ac:dyDescent="0.25">
      <c r="B42" s="90"/>
      <c r="C42" s="159"/>
      <c r="D42" s="159"/>
      <c r="E42" s="159"/>
      <c r="F42" s="159"/>
      <c r="G42" s="159"/>
      <c r="H42" s="37"/>
      <c r="I42" s="37"/>
      <c r="J42" s="37"/>
      <c r="K42" s="37"/>
      <c r="L42" s="91"/>
    </row>
    <row r="43" spans="2:12" ht="33.75" customHeight="1" thickBot="1" x14ac:dyDescent="0.25">
      <c r="B43" s="24"/>
      <c r="C43" s="24"/>
      <c r="D43" s="24"/>
      <c r="E43" s="24"/>
      <c r="F43" s="24"/>
      <c r="G43" s="127"/>
      <c r="H43" s="24"/>
      <c r="I43" s="24"/>
      <c r="J43" s="24"/>
      <c r="K43" s="24"/>
      <c r="L43" s="24"/>
    </row>
    <row r="44" spans="2:12" ht="29.25" customHeight="1" x14ac:dyDescent="0.2">
      <c r="B44" s="300" t="s">
        <v>209</v>
      </c>
      <c r="C44" s="301"/>
      <c r="D44" s="301"/>
      <c r="E44" s="301"/>
      <c r="F44" s="24"/>
      <c r="G44" s="127"/>
      <c r="H44" s="24"/>
      <c r="I44" s="302"/>
      <c r="J44" s="301"/>
      <c r="K44" s="301"/>
      <c r="L44" s="303"/>
    </row>
    <row r="45" spans="2:12" ht="14" customHeight="1" x14ac:dyDescent="0.2">
      <c r="B45" s="296" t="s">
        <v>579</v>
      </c>
      <c r="C45" s="288"/>
      <c r="D45" s="288"/>
      <c r="E45" s="288"/>
      <c r="F45" s="288"/>
      <c r="G45" s="288"/>
      <c r="H45" s="288"/>
      <c r="I45" s="288"/>
      <c r="J45" s="288"/>
      <c r="K45" s="288"/>
      <c r="L45" s="297"/>
    </row>
    <row r="46" spans="2:12" ht="14" x14ac:dyDescent="0.2">
      <c r="B46" s="296"/>
      <c r="C46" s="288"/>
      <c r="D46" s="288"/>
      <c r="E46" s="288"/>
      <c r="F46" s="288"/>
      <c r="G46" s="288"/>
      <c r="H46" s="288"/>
      <c r="I46" s="288"/>
      <c r="J46" s="288"/>
      <c r="K46" s="288"/>
      <c r="L46" s="297"/>
    </row>
    <row r="47" spans="2:12" ht="14" x14ac:dyDescent="0.2">
      <c r="B47" s="296"/>
      <c r="C47" s="288"/>
      <c r="D47" s="288"/>
      <c r="E47" s="288"/>
      <c r="F47" s="288"/>
      <c r="G47" s="288"/>
      <c r="H47" s="288"/>
      <c r="I47" s="288"/>
      <c r="J47" s="288"/>
      <c r="K47" s="288"/>
      <c r="L47" s="297"/>
    </row>
    <row r="48" spans="2:12" ht="14" x14ac:dyDescent="0.2">
      <c r="B48" s="296"/>
      <c r="C48" s="288"/>
      <c r="D48" s="288"/>
      <c r="E48" s="288"/>
      <c r="F48" s="288"/>
      <c r="G48" s="288"/>
      <c r="H48" s="288"/>
      <c r="I48" s="288"/>
      <c r="J48" s="288"/>
      <c r="K48" s="288"/>
      <c r="L48" s="297"/>
    </row>
    <row r="49" spans="1:13" ht="14" x14ac:dyDescent="0.2">
      <c r="B49" s="296"/>
      <c r="C49" s="288"/>
      <c r="D49" s="288"/>
      <c r="E49" s="288"/>
      <c r="F49" s="288"/>
      <c r="G49" s="288"/>
      <c r="H49" s="288"/>
      <c r="I49" s="288"/>
      <c r="J49" s="288"/>
      <c r="K49" s="288"/>
      <c r="L49" s="297"/>
    </row>
    <row r="50" spans="1:13" ht="14" x14ac:dyDescent="0.2">
      <c r="B50" s="296"/>
      <c r="C50" s="288"/>
      <c r="D50" s="288"/>
      <c r="E50" s="288"/>
      <c r="F50" s="288"/>
      <c r="G50" s="288"/>
      <c r="H50" s="288"/>
      <c r="I50" s="288"/>
      <c r="J50" s="288"/>
      <c r="K50" s="288"/>
      <c r="L50" s="297"/>
    </row>
    <row r="51" spans="1:13" ht="11.25" customHeight="1" x14ac:dyDescent="0.2">
      <c r="B51" s="93"/>
      <c r="D51" s="22"/>
      <c r="F51" s="22"/>
      <c r="G51" s="97"/>
      <c r="H51" s="22"/>
      <c r="I51" s="22"/>
      <c r="J51" s="22"/>
      <c r="K51" s="22"/>
      <c r="L51" s="94"/>
    </row>
    <row r="52" spans="1:13" ht="14" x14ac:dyDescent="0.2">
      <c r="B52" s="344" t="s">
        <v>240</v>
      </c>
      <c r="C52" s="283"/>
      <c r="D52" s="283"/>
      <c r="E52" s="283"/>
      <c r="F52" s="283"/>
      <c r="G52" s="283"/>
      <c r="H52" s="283"/>
      <c r="I52" s="283"/>
      <c r="J52" s="283"/>
      <c r="K52" s="283"/>
      <c r="L52" s="284"/>
    </row>
    <row r="53" spans="1:13" ht="11.25" customHeight="1" x14ac:dyDescent="0.2">
      <c r="B53" s="93"/>
      <c r="D53" s="22"/>
      <c r="F53" s="22"/>
      <c r="G53" s="97"/>
      <c r="H53" s="22"/>
      <c r="I53" s="22"/>
      <c r="J53" s="22"/>
      <c r="K53" s="22"/>
      <c r="L53" s="94"/>
    </row>
    <row r="54" spans="1:13" ht="14" customHeight="1" x14ac:dyDescent="0.2">
      <c r="B54" s="296" t="s">
        <v>241</v>
      </c>
      <c r="C54" s="288"/>
      <c r="D54" s="288"/>
      <c r="E54" s="288"/>
      <c r="F54" s="288"/>
      <c r="G54" s="288"/>
      <c r="H54" s="288"/>
      <c r="I54" s="288"/>
      <c r="J54" s="288"/>
      <c r="K54" s="288"/>
      <c r="L54" s="297"/>
    </row>
    <row r="55" spans="1:13" ht="14" customHeight="1" x14ac:dyDescent="0.2">
      <c r="B55" s="296"/>
      <c r="C55" s="288"/>
      <c r="D55" s="288"/>
      <c r="E55" s="288"/>
      <c r="F55" s="288"/>
      <c r="G55" s="288"/>
      <c r="H55" s="288"/>
      <c r="I55" s="288"/>
      <c r="J55" s="288"/>
      <c r="K55" s="288"/>
      <c r="L55" s="297"/>
    </row>
    <row r="56" spans="1:13" ht="14" x14ac:dyDescent="0.2">
      <c r="B56" s="296"/>
      <c r="C56" s="288"/>
      <c r="D56" s="288"/>
      <c r="E56" s="288"/>
      <c r="F56" s="288"/>
      <c r="G56" s="288"/>
      <c r="H56" s="288"/>
      <c r="I56" s="288"/>
      <c r="J56" s="288"/>
      <c r="K56" s="288"/>
      <c r="L56" s="297"/>
    </row>
    <row r="57" spans="1:13" ht="8.25" customHeight="1" x14ac:dyDescent="0.2">
      <c r="B57" s="93"/>
      <c r="D57" s="22"/>
      <c r="F57" s="22"/>
      <c r="G57" s="97"/>
      <c r="H57" s="22"/>
      <c r="I57" s="22"/>
      <c r="J57" s="22"/>
      <c r="K57" s="22"/>
      <c r="L57" s="94"/>
    </row>
    <row r="58" spans="1:13" ht="17" thickBot="1" x14ac:dyDescent="0.25">
      <c r="A58" s="28"/>
      <c r="B58" s="128"/>
      <c r="C58" s="149" t="s">
        <v>100</v>
      </c>
      <c r="D58" s="28"/>
      <c r="E58" s="129" t="s">
        <v>108</v>
      </c>
      <c r="F58" s="28"/>
      <c r="G58" s="130" t="s">
        <v>102</v>
      </c>
      <c r="H58" s="28"/>
      <c r="I58" s="129" t="s">
        <v>18</v>
      </c>
      <c r="J58" s="129"/>
      <c r="K58" s="129"/>
      <c r="L58" s="131"/>
      <c r="M58" s="28"/>
    </row>
    <row r="59" spans="1:13" ht="120" x14ac:dyDescent="0.2">
      <c r="B59" s="150"/>
      <c r="C59" s="366" t="s">
        <v>618</v>
      </c>
      <c r="D59" s="50" t="s">
        <v>104</v>
      </c>
      <c r="E59" s="224" t="s">
        <v>215</v>
      </c>
      <c r="F59" s="34" t="s">
        <v>106</v>
      </c>
      <c r="G59" s="117" t="str">
        <f>SUBSTITUTE($C$59,"{{EMAIL}}",E59)</f>
        <v xml:space="preserve">
Human: Please classify this email: Hi -- My Mixmaster4000 is producing a strange noise when I operate it. It also smells a bit smoky and plasticky, like burning electronics.  I need a replacement.
Assistant:</v>
      </c>
      <c r="H59" s="12" t="s">
        <v>20</v>
      </c>
      <c r="I59" s="399" t="s">
        <v>619</v>
      </c>
      <c r="J59" s="400"/>
      <c r="K59" s="401"/>
      <c r="L59" s="94"/>
    </row>
    <row r="60" spans="1:13" ht="8.25" customHeight="1" x14ac:dyDescent="0.2">
      <c r="B60" s="150"/>
      <c r="C60" s="367"/>
      <c r="D60" s="52"/>
      <c r="F60" s="22"/>
      <c r="G60" s="97"/>
      <c r="H60" s="22"/>
      <c r="I60" s="22"/>
      <c r="J60" s="22"/>
      <c r="K60" s="22"/>
      <c r="L60" s="94"/>
    </row>
    <row r="61" spans="1:13" ht="105" x14ac:dyDescent="0.2">
      <c r="B61" s="150"/>
      <c r="C61" s="367"/>
      <c r="D61" s="50" t="s">
        <v>104</v>
      </c>
      <c r="E61" s="224" t="s">
        <v>217</v>
      </c>
      <c r="F61" s="34" t="s">
        <v>106</v>
      </c>
      <c r="G61" s="117" t="str">
        <f>SUBSTITUTE($C$59,"{{EMAIL}}",E61)</f>
        <v xml:space="preserve">
Human: Please classify this email: Can I use my Mixmaster 4000 to mix paint, or is it only meant for mixing food?
Assistant:</v>
      </c>
      <c r="H61" s="12" t="s">
        <v>20</v>
      </c>
      <c r="I61" s="399" t="s">
        <v>620</v>
      </c>
      <c r="J61" s="400"/>
      <c r="K61" s="401"/>
      <c r="L61" s="94"/>
    </row>
    <row r="62" spans="1:13" ht="8.25" customHeight="1" x14ac:dyDescent="0.2">
      <c r="B62" s="150"/>
      <c r="C62" s="367"/>
      <c r="D62" s="52"/>
      <c r="F62" s="22"/>
      <c r="G62" s="97"/>
      <c r="H62" s="22"/>
      <c r="I62" s="22"/>
      <c r="J62" s="22"/>
      <c r="K62" s="22"/>
      <c r="L62" s="94"/>
    </row>
    <row r="63" spans="1:13" ht="120" x14ac:dyDescent="0.2">
      <c r="B63" s="150"/>
      <c r="C63" s="367"/>
      <c r="D63" s="50" t="s">
        <v>104</v>
      </c>
      <c r="E63" s="224" t="s">
        <v>219</v>
      </c>
      <c r="F63" s="34" t="s">
        <v>106</v>
      </c>
      <c r="G63" s="117" t="str">
        <f>SUBSTITUTE($C$59,"{{EMAIL}}",E63)</f>
        <v xml:space="preserve">
Human: Please classify this email: I HAVE BEEN WAITING 4 MONTHS FOR MY MONTHLY CHARGES TO END AFTER CANCELLING!!  WTF IS GOING ON???
Assistant:</v>
      </c>
      <c r="H63" s="12" t="s">
        <v>20</v>
      </c>
      <c r="I63" s="399" t="s">
        <v>623</v>
      </c>
      <c r="J63" s="400"/>
      <c r="K63" s="401"/>
      <c r="L63" s="94"/>
    </row>
    <row r="64" spans="1:13" ht="8.25" customHeight="1" x14ac:dyDescent="0.2">
      <c r="B64" s="150"/>
      <c r="C64" s="367"/>
      <c r="D64" s="52"/>
      <c r="F64" s="22"/>
      <c r="G64" s="97"/>
      <c r="H64" s="22"/>
      <c r="I64" s="22"/>
      <c r="J64" s="22"/>
      <c r="K64" s="22"/>
      <c r="L64" s="94"/>
    </row>
    <row r="65" spans="2:12" ht="91" thickBot="1" x14ac:dyDescent="0.25">
      <c r="B65" s="150"/>
      <c r="C65" s="367"/>
      <c r="D65" s="50" t="s">
        <v>104</v>
      </c>
      <c r="E65" s="224" t="s">
        <v>221</v>
      </c>
      <c r="F65" s="34" t="s">
        <v>106</v>
      </c>
      <c r="G65" s="117" t="str">
        <f>SUBSTITUTE($C$59,"{{EMAIL}}",E65)</f>
        <v xml:space="preserve">
Human: Please classify this email: How did I get here I am not good with computer.  Halp.
Assistant:</v>
      </c>
      <c r="H65" s="12" t="s">
        <v>20</v>
      </c>
      <c r="I65" s="399" t="s">
        <v>624</v>
      </c>
      <c r="J65" s="400"/>
      <c r="K65" s="401"/>
      <c r="L65" s="94"/>
    </row>
    <row r="66" spans="2:12" ht="15.75" customHeight="1" x14ac:dyDescent="0.2">
      <c r="B66" s="93"/>
      <c r="C66" s="159"/>
      <c r="D66" s="12"/>
      <c r="E66" s="97"/>
      <c r="F66" s="22"/>
      <c r="G66" s="97"/>
      <c r="H66" s="22"/>
      <c r="I66" s="97"/>
      <c r="J66" s="97"/>
      <c r="K66" s="97"/>
      <c r="L66" s="94"/>
    </row>
    <row r="67" spans="2:12" ht="16" collapsed="1" thickBot="1" x14ac:dyDescent="0.25">
      <c r="B67" s="84" t="s">
        <v>42</v>
      </c>
      <c r="C67" s="332" t="s">
        <v>43</v>
      </c>
      <c r="D67" s="283"/>
      <c r="E67" s="283"/>
      <c r="F67" s="283"/>
      <c r="G67" s="283"/>
      <c r="H67" s="283"/>
      <c r="I67" s="283"/>
      <c r="J67" s="283"/>
      <c r="K67" s="283"/>
      <c r="L67" s="284"/>
    </row>
    <row r="68" spans="2:12" ht="15" hidden="1" outlineLevel="1" thickBot="1" x14ac:dyDescent="0.25">
      <c r="B68" s="365" t="s">
        <v>242</v>
      </c>
      <c r="C68" s="283"/>
      <c r="D68" s="283"/>
      <c r="E68" s="283"/>
      <c r="F68" s="283"/>
      <c r="G68" s="283"/>
      <c r="H68" s="283"/>
      <c r="I68" s="283"/>
      <c r="J68" s="283"/>
      <c r="K68" s="283"/>
      <c r="L68" s="284"/>
    </row>
    <row r="69" spans="2:12" ht="14" x14ac:dyDescent="0.2">
      <c r="B69" s="24"/>
      <c r="C69" s="24"/>
      <c r="D69" s="24"/>
      <c r="E69" s="24"/>
      <c r="F69" s="24"/>
      <c r="G69" s="127"/>
      <c r="H69" s="24"/>
      <c r="I69" s="24"/>
      <c r="J69" s="24"/>
      <c r="K69" s="24"/>
      <c r="L69" s="24"/>
    </row>
    <row r="70" spans="2:12" ht="16" x14ac:dyDescent="0.2">
      <c r="B70" s="281" t="s">
        <v>243</v>
      </c>
      <c r="C70" s="281"/>
      <c r="D70" s="281"/>
      <c r="E70" s="281"/>
      <c r="H70" s="160"/>
      <c r="I70" s="299" t="s">
        <v>244</v>
      </c>
      <c r="J70" s="281"/>
      <c r="K70" s="281"/>
      <c r="L70" s="281"/>
    </row>
    <row r="71" spans="2:12" ht="14" x14ac:dyDescent="0.2">
      <c r="G71" s="97"/>
      <c r="H71" s="22"/>
      <c r="I71" s="22"/>
    </row>
    <row r="72" spans="2:12" ht="16" x14ac:dyDescent="0.2">
      <c r="B72" s="280" t="s">
        <v>37</v>
      </c>
      <c r="C72" s="281"/>
      <c r="D72" s="281"/>
      <c r="E72" s="281"/>
      <c r="F72" s="281"/>
      <c r="G72" s="281"/>
      <c r="H72" s="281"/>
      <c r="I72" s="281"/>
      <c r="J72" s="281"/>
      <c r="K72" s="281"/>
      <c r="L72" s="281"/>
    </row>
    <row r="73" spans="2:12" ht="15" x14ac:dyDescent="0.2">
      <c r="B73" s="161"/>
      <c r="C73" s="161"/>
      <c r="D73" s="161"/>
      <c r="E73" s="161"/>
      <c r="F73" s="161"/>
      <c r="G73" s="161"/>
      <c r="H73" s="161"/>
      <c r="I73" s="161"/>
      <c r="J73" s="161"/>
      <c r="K73" s="161"/>
      <c r="L73" s="161"/>
    </row>
    <row r="74" spans="2:12" ht="15" x14ac:dyDescent="0.2">
      <c r="B74" s="161"/>
      <c r="C74" s="161"/>
      <c r="D74" s="161"/>
      <c r="E74" s="161"/>
      <c r="F74" s="161"/>
      <c r="G74" s="161"/>
      <c r="H74" s="161"/>
      <c r="I74" s="161"/>
      <c r="J74" s="161"/>
      <c r="K74" s="161"/>
      <c r="L74" s="161"/>
    </row>
    <row r="75" spans="2:12" ht="15" x14ac:dyDescent="0.2">
      <c r="B75" s="161"/>
      <c r="C75" s="161"/>
      <c r="D75" s="161"/>
      <c r="E75" s="161"/>
      <c r="F75" s="161"/>
      <c r="G75" s="161"/>
      <c r="H75" s="161"/>
      <c r="I75" s="161"/>
      <c r="J75" s="161"/>
      <c r="K75" s="161"/>
      <c r="L75" s="161"/>
    </row>
    <row r="76" spans="2:12" ht="15" x14ac:dyDescent="0.2">
      <c r="B76" s="161"/>
      <c r="C76" s="161"/>
      <c r="D76" s="161"/>
      <c r="E76" s="161"/>
      <c r="F76" s="161"/>
      <c r="G76" s="161"/>
      <c r="H76" s="161"/>
      <c r="I76" s="161"/>
      <c r="J76" s="161"/>
      <c r="K76" s="161"/>
      <c r="L76" s="161"/>
    </row>
  </sheetData>
  <sheetProtection algorithmName="SHA-512" hashValue="s2Fck9ZlkdfRlmb4IFspBXwK9EBpEI1iEoj6/3INLwuqTeg2NryixzWHc/JspYbVp2iP5iH7HzXUHEEGH+I/+w==" saltValue="zXlKwu5PYvNeGwyLrsVm7A==" spinCount="100000" sheet="1" objects="1" scenarios="1"/>
  <mergeCells count="34">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 ref="C31:L31"/>
    <mergeCell ref="C32:L32"/>
    <mergeCell ref="C33:L33"/>
    <mergeCell ref="B34:L34"/>
    <mergeCell ref="C36:E36"/>
    <mergeCell ref="B44:E44"/>
    <mergeCell ref="I44:L44"/>
    <mergeCell ref="B52:L52"/>
    <mergeCell ref="I59:K59"/>
    <mergeCell ref="I61:K61"/>
    <mergeCell ref="B72:L72"/>
    <mergeCell ref="I63:K63"/>
    <mergeCell ref="I65:K65"/>
    <mergeCell ref="C59:C65"/>
    <mergeCell ref="C67:L67"/>
    <mergeCell ref="B68:L68"/>
    <mergeCell ref="B70:E70"/>
    <mergeCell ref="I70:L7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70.83203125" style="89" customWidth="1"/>
    <col min="4" max="4" width="4" style="89" customWidth="1"/>
    <col min="5" max="5" width="70.83203125" style="89" customWidth="1"/>
    <col min="6" max="6" width="3" style="89" customWidth="1"/>
    <col min="7" max="7" width="5.5" style="89" customWidth="1"/>
    <col min="8" max="16384" width="12.6640625" style="89"/>
  </cols>
  <sheetData>
    <row r="1" spans="1:7" ht="40" customHeight="1" x14ac:dyDescent="0.2">
      <c r="A1" s="88"/>
      <c r="B1" s="352" t="s">
        <v>245</v>
      </c>
      <c r="C1" s="283"/>
      <c r="D1" s="283"/>
      <c r="E1" s="283"/>
      <c r="F1" s="22"/>
      <c r="G1" s="22"/>
    </row>
    <row r="2" spans="1:7" ht="21.75" customHeight="1" thickBot="1" x14ac:dyDescent="0.25"/>
    <row r="3" spans="1:7" ht="29.25" customHeight="1" x14ac:dyDescent="0.2">
      <c r="A3" s="22"/>
      <c r="B3" s="314" t="s">
        <v>12</v>
      </c>
      <c r="C3" s="315"/>
      <c r="D3" s="315"/>
      <c r="E3" s="316"/>
      <c r="F3" s="317"/>
      <c r="G3" s="22"/>
    </row>
    <row r="4" spans="1:7" ht="15" customHeight="1" x14ac:dyDescent="0.2">
      <c r="B4" s="353" t="s">
        <v>246</v>
      </c>
      <c r="C4" s="354"/>
      <c r="D4" s="354"/>
      <c r="E4" s="354"/>
      <c r="F4" s="355"/>
    </row>
    <row r="5" spans="1:7" ht="15" customHeight="1" x14ac:dyDescent="0.2">
      <c r="B5" s="353"/>
      <c r="C5" s="354"/>
      <c r="D5" s="354"/>
      <c r="E5" s="354"/>
      <c r="F5" s="355"/>
    </row>
    <row r="6" spans="1:7" ht="15" customHeight="1" x14ac:dyDescent="0.2">
      <c r="B6" s="353"/>
      <c r="C6" s="354"/>
      <c r="D6" s="354"/>
      <c r="E6" s="354"/>
      <c r="F6" s="355"/>
    </row>
    <row r="7" spans="1:7" ht="15" customHeight="1" x14ac:dyDescent="0.2">
      <c r="B7" s="353"/>
      <c r="C7" s="354"/>
      <c r="D7" s="354"/>
      <c r="E7" s="354"/>
      <c r="F7" s="355"/>
    </row>
    <row r="8" spans="1:7" ht="15" customHeight="1" thickBot="1" x14ac:dyDescent="0.25">
      <c r="B8" s="356"/>
      <c r="C8" s="357"/>
      <c r="D8" s="357"/>
      <c r="E8" s="357"/>
      <c r="F8" s="358"/>
    </row>
    <row r="9" spans="1:7" ht="33.75" customHeight="1" thickBot="1" x14ac:dyDescent="0.25"/>
    <row r="10" spans="1:7" ht="29.25" customHeight="1" x14ac:dyDescent="0.2">
      <c r="B10" s="300" t="s">
        <v>13</v>
      </c>
      <c r="C10" s="301"/>
      <c r="D10" s="301"/>
      <c r="E10" s="302"/>
      <c r="F10" s="303"/>
    </row>
    <row r="11" spans="1:7" ht="14" x14ac:dyDescent="0.2">
      <c r="B11" s="344" t="s">
        <v>247</v>
      </c>
      <c r="C11" s="283"/>
      <c r="D11" s="283"/>
      <c r="E11" s="283"/>
      <c r="F11" s="284"/>
    </row>
    <row r="12" spans="1:7" ht="8.25" customHeight="1" x14ac:dyDescent="0.2">
      <c r="B12" s="93"/>
      <c r="F12" s="94"/>
    </row>
    <row r="13" spans="1:7" ht="14" x14ac:dyDescent="0.2">
      <c r="B13" s="93"/>
      <c r="C13" s="95" t="s">
        <v>17</v>
      </c>
      <c r="E13" s="95" t="s">
        <v>18</v>
      </c>
      <c r="F13" s="94"/>
    </row>
    <row r="14" spans="1:7" ht="75" x14ac:dyDescent="0.2">
      <c r="B14" s="93"/>
      <c r="C14" s="101" t="s">
        <v>248</v>
      </c>
      <c r="D14" s="12" t="s">
        <v>20</v>
      </c>
      <c r="E14" s="101" t="s">
        <v>249</v>
      </c>
      <c r="F14" s="94"/>
    </row>
    <row r="15" spans="1:7" ht="22.5" customHeight="1" x14ac:dyDescent="0.2">
      <c r="B15" s="93"/>
      <c r="F15" s="94"/>
    </row>
    <row r="16" spans="1:7" ht="14" customHeight="1" x14ac:dyDescent="0.2">
      <c r="B16" s="296" t="s">
        <v>250</v>
      </c>
      <c r="C16" s="288"/>
      <c r="D16" s="288"/>
      <c r="E16" s="288"/>
      <c r="F16" s="297"/>
    </row>
    <row r="17" spans="1:7" ht="14" customHeight="1" x14ac:dyDescent="0.2">
      <c r="B17" s="296"/>
      <c r="C17" s="288"/>
      <c r="D17" s="288"/>
      <c r="E17" s="288"/>
      <c r="F17" s="297"/>
    </row>
    <row r="18" spans="1:7" ht="14" x14ac:dyDescent="0.2">
      <c r="B18" s="296"/>
      <c r="C18" s="288"/>
      <c r="D18" s="288"/>
      <c r="E18" s="288"/>
      <c r="F18" s="297"/>
    </row>
    <row r="19" spans="1:7" ht="8.25" customHeight="1" x14ac:dyDescent="0.2">
      <c r="B19" s="93"/>
      <c r="F19" s="94"/>
    </row>
    <row r="20" spans="1:7" ht="14" x14ac:dyDescent="0.2">
      <c r="B20" s="93"/>
      <c r="C20" s="95" t="s">
        <v>17</v>
      </c>
      <c r="E20" s="95" t="s">
        <v>18</v>
      </c>
      <c r="F20" s="94"/>
    </row>
    <row r="21" spans="1:7" ht="135" x14ac:dyDescent="0.2">
      <c r="A21" s="97"/>
      <c r="B21" s="98"/>
      <c r="C21" s="136" t="s">
        <v>251</v>
      </c>
      <c r="D21" s="15" t="s">
        <v>20</v>
      </c>
      <c r="E21" s="162" t="s">
        <v>252</v>
      </c>
      <c r="F21" s="100"/>
      <c r="G21" s="97"/>
    </row>
    <row r="22" spans="1:7" ht="22.5" customHeight="1" x14ac:dyDescent="0.2">
      <c r="B22" s="93"/>
      <c r="F22" s="94"/>
    </row>
    <row r="23" spans="1:7" ht="14" customHeight="1" x14ac:dyDescent="0.2">
      <c r="B23" s="296" t="s">
        <v>580</v>
      </c>
      <c r="C23" s="288"/>
      <c r="D23" s="288"/>
      <c r="E23" s="288"/>
      <c r="F23" s="297"/>
    </row>
    <row r="24" spans="1:7" ht="14" customHeight="1" x14ac:dyDescent="0.2">
      <c r="B24" s="296"/>
      <c r="C24" s="288"/>
      <c r="D24" s="288"/>
      <c r="E24" s="288"/>
      <c r="F24" s="297"/>
    </row>
    <row r="25" spans="1:7" ht="14" customHeight="1" x14ac:dyDescent="0.2">
      <c r="B25" s="296"/>
      <c r="C25" s="288"/>
      <c r="D25" s="288"/>
      <c r="E25" s="288"/>
      <c r="F25" s="297"/>
    </row>
    <row r="26" spans="1:7" ht="14" x14ac:dyDescent="0.2">
      <c r="B26" s="296"/>
      <c r="C26" s="288"/>
      <c r="D26" s="288"/>
      <c r="E26" s="288"/>
      <c r="F26" s="297"/>
    </row>
    <row r="27" spans="1:7" ht="8.25" customHeight="1" x14ac:dyDescent="0.2">
      <c r="B27" s="93"/>
      <c r="F27" s="94"/>
    </row>
    <row r="28" spans="1:7" ht="14" x14ac:dyDescent="0.2">
      <c r="B28" s="93"/>
      <c r="C28" s="95" t="s">
        <v>17</v>
      </c>
      <c r="E28" s="95" t="s">
        <v>18</v>
      </c>
      <c r="F28" s="94"/>
    </row>
    <row r="29" spans="1:7" ht="409.6" x14ac:dyDescent="0.2">
      <c r="B29" s="93"/>
      <c r="C29" s="136" t="s">
        <v>253</v>
      </c>
      <c r="D29" s="15" t="s">
        <v>20</v>
      </c>
      <c r="E29" s="162" t="s">
        <v>254</v>
      </c>
      <c r="F29" s="94"/>
    </row>
    <row r="30" spans="1:7" ht="22.5" customHeight="1" x14ac:dyDescent="0.2">
      <c r="B30" s="93"/>
      <c r="F30" s="94"/>
    </row>
    <row r="31" spans="1:7" ht="14" customHeight="1" x14ac:dyDescent="0.2">
      <c r="B31" s="296" t="s">
        <v>581</v>
      </c>
      <c r="C31" s="288"/>
      <c r="D31" s="288"/>
      <c r="E31" s="288"/>
      <c r="F31" s="297"/>
    </row>
    <row r="32" spans="1:7" ht="14" x14ac:dyDescent="0.2">
      <c r="B32" s="296"/>
      <c r="C32" s="288"/>
      <c r="D32" s="288"/>
      <c r="E32" s="288"/>
      <c r="F32" s="297"/>
    </row>
    <row r="33" spans="2:6" ht="8.25" customHeight="1" x14ac:dyDescent="0.2">
      <c r="B33" s="93"/>
      <c r="F33" s="94"/>
    </row>
    <row r="34" spans="2:6" ht="14" x14ac:dyDescent="0.2">
      <c r="B34" s="93"/>
      <c r="C34" s="95" t="s">
        <v>17</v>
      </c>
      <c r="E34" s="95" t="s">
        <v>18</v>
      </c>
      <c r="F34" s="94"/>
    </row>
    <row r="35" spans="2:6" ht="195" x14ac:dyDescent="0.2">
      <c r="B35" s="93"/>
      <c r="C35" s="136" t="s">
        <v>255</v>
      </c>
      <c r="D35" s="15" t="s">
        <v>20</v>
      </c>
      <c r="E35" s="162" t="s">
        <v>256</v>
      </c>
      <c r="F35" s="94"/>
    </row>
    <row r="36" spans="2:6" ht="14" x14ac:dyDescent="0.2">
      <c r="B36" s="93"/>
      <c r="F36" s="94"/>
    </row>
    <row r="37" spans="2:6" ht="15" thickBot="1" x14ac:dyDescent="0.25">
      <c r="B37" s="345" t="s">
        <v>33</v>
      </c>
      <c r="C37" s="340"/>
      <c r="D37" s="340"/>
      <c r="E37" s="340"/>
      <c r="F37" s="341"/>
    </row>
    <row r="39" spans="2:6" ht="15.75" customHeight="1" x14ac:dyDescent="0.2">
      <c r="E39" s="299" t="s">
        <v>257</v>
      </c>
      <c r="F39" s="281"/>
    </row>
    <row r="40" spans="2:6" ht="33.75" customHeight="1" thickBot="1" x14ac:dyDescent="0.25"/>
    <row r="41" spans="2:6" ht="29.25" customHeight="1" x14ac:dyDescent="0.2">
      <c r="B41" s="300" t="s">
        <v>14</v>
      </c>
      <c r="C41" s="301"/>
      <c r="D41" s="301"/>
      <c r="E41" s="302"/>
      <c r="F41" s="303"/>
    </row>
    <row r="42" spans="2:6" ht="14" customHeight="1" x14ac:dyDescent="0.2">
      <c r="B42" s="296" t="s">
        <v>528</v>
      </c>
      <c r="C42" s="288"/>
      <c r="D42" s="288"/>
      <c r="E42" s="288"/>
      <c r="F42" s="297"/>
    </row>
    <row r="43" spans="2:6" ht="14" x14ac:dyDescent="0.2">
      <c r="B43" s="296"/>
      <c r="C43" s="288"/>
      <c r="D43" s="288"/>
      <c r="E43" s="288"/>
      <c r="F43" s="297"/>
    </row>
    <row r="44" spans="2:6" ht="14" x14ac:dyDescent="0.2">
      <c r="B44" s="296"/>
      <c r="C44" s="288"/>
      <c r="D44" s="288"/>
      <c r="E44" s="288"/>
      <c r="F44" s="297"/>
    </row>
    <row r="45" spans="2:6" ht="8.25" customHeight="1" x14ac:dyDescent="0.2">
      <c r="B45" s="93"/>
      <c r="F45" s="94"/>
    </row>
    <row r="46" spans="2:6" ht="14" x14ac:dyDescent="0.2">
      <c r="B46" s="93"/>
      <c r="C46" s="95" t="s">
        <v>17</v>
      </c>
      <c r="E46" s="95" t="s">
        <v>18</v>
      </c>
      <c r="F46" s="94"/>
    </row>
    <row r="47" spans="2:6" ht="75" x14ac:dyDescent="0.2">
      <c r="B47" s="93"/>
      <c r="C47" s="220" t="s">
        <v>248</v>
      </c>
      <c r="D47" s="12" t="s">
        <v>20</v>
      </c>
      <c r="E47" s="236" t="s">
        <v>582</v>
      </c>
      <c r="F47" s="94"/>
    </row>
    <row r="48" spans="2:6" ht="8.25" customHeight="1" x14ac:dyDescent="0.2">
      <c r="B48" s="282"/>
      <c r="C48" s="283"/>
      <c r="D48" s="283"/>
      <c r="E48" s="283"/>
      <c r="F48" s="284"/>
    </row>
    <row r="49" spans="1:7" ht="135" x14ac:dyDescent="0.2">
      <c r="A49" s="97"/>
      <c r="B49" s="98"/>
      <c r="C49" s="222" t="s">
        <v>251</v>
      </c>
      <c r="D49" s="15" t="s">
        <v>20</v>
      </c>
      <c r="E49" s="240" t="s">
        <v>252</v>
      </c>
      <c r="F49" s="100"/>
      <c r="G49" s="97"/>
    </row>
    <row r="50" spans="1:7" ht="8.25" customHeight="1" x14ac:dyDescent="0.2">
      <c r="B50" s="93"/>
      <c r="F50" s="94"/>
    </row>
    <row r="51" spans="1:7" ht="409.6" x14ac:dyDescent="0.2">
      <c r="B51" s="93"/>
      <c r="C51" s="222" t="s">
        <v>253</v>
      </c>
      <c r="D51" s="15" t="s">
        <v>20</v>
      </c>
      <c r="E51" s="240" t="s">
        <v>254</v>
      </c>
      <c r="F51" s="94"/>
    </row>
    <row r="52" spans="1:7" ht="8.25" customHeight="1" x14ac:dyDescent="0.2">
      <c r="B52" s="93"/>
      <c r="F52" s="94"/>
    </row>
    <row r="53" spans="1:7" ht="195" x14ac:dyDescent="0.2">
      <c r="B53" s="93"/>
      <c r="C53" s="222" t="s">
        <v>255</v>
      </c>
      <c r="D53" s="15" t="s">
        <v>20</v>
      </c>
      <c r="E53" s="240" t="s">
        <v>256</v>
      </c>
      <c r="F53" s="94"/>
    </row>
    <row r="54" spans="1:7" ht="15" thickBot="1" x14ac:dyDescent="0.25">
      <c r="B54" s="103"/>
      <c r="C54" s="40"/>
      <c r="D54" s="40"/>
      <c r="E54" s="40"/>
      <c r="F54" s="104"/>
    </row>
    <row r="56" spans="1:7" ht="16" x14ac:dyDescent="0.2">
      <c r="B56" s="281" t="s">
        <v>258</v>
      </c>
      <c r="C56" s="281"/>
      <c r="D56" s="281"/>
      <c r="E56" s="299" t="s">
        <v>257</v>
      </c>
      <c r="F56" s="281"/>
    </row>
    <row r="57" spans="1:7" ht="8.25" customHeight="1" x14ac:dyDescent="0.2"/>
    <row r="58" spans="1:7" ht="16" x14ac:dyDescent="0.2">
      <c r="B58" s="280" t="s">
        <v>37</v>
      </c>
      <c r="C58" s="281"/>
      <c r="D58" s="281"/>
      <c r="E58" s="281"/>
      <c r="F58" s="281"/>
    </row>
  </sheetData>
  <sheetProtection algorithmName="SHA-512" hashValue="xjeQbtqrWrbYgMMnTljZM5ER9NomBMTBQ788c2TYB24DdcdtIEpMgH4Maq4Zy6JCFC5B8pT8S+ruP4RdNt2nHQ==" saltValue="C6KHnH5xWPKJYScWF6PNBQ==" spinCount="100000" sheet="1" objects="1" scenarios="1"/>
  <mergeCells count="19">
    <mergeCell ref="B1:E1"/>
    <mergeCell ref="B3:D3"/>
    <mergeCell ref="E3:F3"/>
    <mergeCell ref="B10:D10"/>
    <mergeCell ref="E10:F10"/>
    <mergeCell ref="B4:F8"/>
    <mergeCell ref="B11:F11"/>
    <mergeCell ref="B48:F48"/>
    <mergeCell ref="B31:F32"/>
    <mergeCell ref="B42:F44"/>
    <mergeCell ref="B37:F37"/>
    <mergeCell ref="E39:F39"/>
    <mergeCell ref="B41:D41"/>
    <mergeCell ref="E41:F41"/>
    <mergeCell ref="B58:F58"/>
    <mergeCell ref="B56:D56"/>
    <mergeCell ref="E56:F56"/>
    <mergeCell ref="B16:F18"/>
    <mergeCell ref="B23:F26"/>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6"/>
      <c r="B1" s="352" t="s">
        <v>259</v>
      </c>
      <c r="C1" s="271"/>
      <c r="D1" s="271"/>
      <c r="E1" s="271"/>
      <c r="F1" s="271"/>
      <c r="G1" s="271"/>
      <c r="H1" s="271"/>
      <c r="I1" s="271"/>
      <c r="J1" s="87"/>
      <c r="K1" s="87"/>
      <c r="L1" s="2"/>
      <c r="M1" s="2"/>
    </row>
    <row r="2" spans="1:13" ht="21.75" customHeight="1" thickBot="1" x14ac:dyDescent="0.25">
      <c r="D2" s="22"/>
      <c r="F2" s="22"/>
      <c r="G2" s="13"/>
      <c r="H2" s="22"/>
      <c r="I2" s="3"/>
      <c r="J2" s="3"/>
      <c r="K2" s="3"/>
    </row>
    <row r="3" spans="1:13" ht="29.25" customHeight="1" x14ac:dyDescent="0.2">
      <c r="B3" s="423" t="s">
        <v>260</v>
      </c>
      <c r="C3" s="424"/>
      <c r="D3" s="424"/>
      <c r="E3" s="424"/>
      <c r="F3" s="24"/>
      <c r="G3" s="25"/>
      <c r="H3" s="24"/>
      <c r="I3" s="425"/>
      <c r="J3" s="424"/>
      <c r="K3" s="424"/>
      <c r="L3" s="426"/>
    </row>
    <row r="4" spans="1:13" ht="30" customHeight="1" x14ac:dyDescent="0.2">
      <c r="B4" s="420" t="s">
        <v>625</v>
      </c>
      <c r="C4" s="421"/>
      <c r="D4" s="421"/>
      <c r="E4" s="421"/>
      <c r="F4" s="421"/>
      <c r="G4" s="421"/>
      <c r="H4" s="421"/>
      <c r="I4" s="421"/>
      <c r="J4" s="421"/>
      <c r="K4" s="421"/>
      <c r="L4" s="422"/>
    </row>
    <row r="5" spans="1:13" ht="14" customHeight="1" x14ac:dyDescent="0.2">
      <c r="B5" s="420"/>
      <c r="C5" s="421"/>
      <c r="D5" s="421"/>
      <c r="E5" s="421"/>
      <c r="F5" s="421"/>
      <c r="G5" s="421"/>
      <c r="H5" s="421"/>
      <c r="I5" s="421"/>
      <c r="J5" s="421"/>
      <c r="K5" s="421"/>
      <c r="L5" s="422"/>
    </row>
    <row r="6" spans="1:13" ht="15" customHeight="1" x14ac:dyDescent="0.2">
      <c r="B6" s="420"/>
      <c r="C6" s="421"/>
      <c r="D6" s="421"/>
      <c r="E6" s="421"/>
      <c r="F6" s="421"/>
      <c r="G6" s="421"/>
      <c r="H6" s="421"/>
      <c r="I6" s="421"/>
      <c r="J6" s="421"/>
      <c r="K6" s="421"/>
      <c r="L6" s="422"/>
    </row>
    <row r="7" spans="1:13" ht="15" customHeight="1" x14ac:dyDescent="0.2">
      <c r="B7" s="420"/>
      <c r="C7" s="421"/>
      <c r="D7" s="421"/>
      <c r="E7" s="421"/>
      <c r="F7" s="421"/>
      <c r="G7" s="421"/>
      <c r="H7" s="421"/>
      <c r="I7" s="421"/>
      <c r="J7" s="421"/>
      <c r="K7" s="421"/>
      <c r="L7" s="422"/>
    </row>
    <row r="8" spans="1:13" ht="11.25" customHeight="1" x14ac:dyDescent="0.2">
      <c r="B8" s="4"/>
      <c r="C8" s="5"/>
      <c r="D8" s="5"/>
      <c r="E8" s="5"/>
      <c r="F8" s="5"/>
      <c r="G8" s="5"/>
      <c r="H8" s="5"/>
      <c r="I8" s="5"/>
      <c r="J8" s="5"/>
      <c r="K8" s="5"/>
      <c r="L8" s="6"/>
    </row>
    <row r="9" spans="1:13" ht="14" x14ac:dyDescent="0.2">
      <c r="B9" s="419" t="s">
        <v>261</v>
      </c>
      <c r="C9" s="271"/>
      <c r="D9" s="271"/>
      <c r="E9" s="271"/>
      <c r="F9" s="271"/>
      <c r="G9" s="271"/>
      <c r="H9" s="271"/>
      <c r="I9" s="271"/>
      <c r="J9" s="271"/>
      <c r="K9" s="271"/>
      <c r="L9" s="272"/>
    </row>
    <row r="10" spans="1:13" ht="64" x14ac:dyDescent="0.2">
      <c r="B10" s="7"/>
      <c r="C10" s="45" t="s">
        <v>211</v>
      </c>
      <c r="D10" s="46"/>
      <c r="E10" s="46"/>
      <c r="F10" s="46"/>
      <c r="G10" s="46"/>
      <c r="H10" s="46"/>
      <c r="I10" s="46"/>
      <c r="J10" s="46"/>
      <c r="K10" s="46"/>
      <c r="L10" s="47"/>
    </row>
    <row r="11" spans="1:13" ht="8.25" customHeight="1" x14ac:dyDescent="0.2">
      <c r="B11" s="9"/>
      <c r="D11" s="22"/>
      <c r="F11" s="22"/>
      <c r="G11" s="13"/>
      <c r="H11" s="22"/>
      <c r="I11" s="3"/>
      <c r="J11" s="3"/>
      <c r="K11" s="3"/>
      <c r="L11" s="10"/>
    </row>
    <row r="12" spans="1:13" ht="17" thickBot="1" x14ac:dyDescent="0.25">
      <c r="A12" s="23"/>
      <c r="B12" s="26"/>
      <c r="C12" s="48" t="s">
        <v>100</v>
      </c>
      <c r="D12" s="28"/>
      <c r="E12" s="27" t="s">
        <v>108</v>
      </c>
      <c r="F12" s="28"/>
      <c r="G12" s="29" t="s">
        <v>102</v>
      </c>
      <c r="H12" s="28"/>
      <c r="I12" s="30" t="s">
        <v>18</v>
      </c>
      <c r="J12" s="30"/>
      <c r="K12" s="30" t="s">
        <v>262</v>
      </c>
      <c r="L12" s="31"/>
      <c r="M12" s="23"/>
    </row>
    <row r="13" spans="1:13" ht="105" x14ac:dyDescent="0.2">
      <c r="B13" s="49"/>
      <c r="C13" s="415" t="s">
        <v>618</v>
      </c>
      <c r="D13" s="50" t="s">
        <v>104</v>
      </c>
      <c r="E13" s="227" t="s">
        <v>215</v>
      </c>
      <c r="F13" s="34" t="s">
        <v>106</v>
      </c>
      <c r="G13" s="163" t="str">
        <f>SUBSTITUTE($C$13,"{{EMAIL}}",E13)</f>
        <v xml:space="preserve">
Human: Please classify this email: Hi -- My Mixmaster4000 is producing a strange noise when I operate it. It also smells a bit smoky and plasticky, like burning electronics.  I need a replacement.
Assistant:</v>
      </c>
      <c r="H13" s="12" t="s">
        <v>20</v>
      </c>
      <c r="I13" s="241" t="s">
        <v>619</v>
      </c>
      <c r="J13" s="36"/>
      <c r="K13" s="51" t="str">
        <f>RIGHT(I13, 1)</f>
        <v>.</v>
      </c>
      <c r="L13" s="10"/>
    </row>
    <row r="14" spans="1:13" ht="8.25" customHeight="1" x14ac:dyDescent="0.2">
      <c r="B14" s="49"/>
      <c r="C14" s="416"/>
      <c r="D14" s="52"/>
      <c r="F14" s="22"/>
      <c r="G14" s="13"/>
      <c r="H14" s="22"/>
      <c r="I14" s="3"/>
      <c r="J14" s="3"/>
      <c r="K14" s="3"/>
      <c r="L14" s="10"/>
    </row>
    <row r="15" spans="1:13" ht="90" x14ac:dyDescent="0.2">
      <c r="B15" s="49"/>
      <c r="C15" s="416"/>
      <c r="D15" s="50" t="s">
        <v>104</v>
      </c>
      <c r="E15" s="227" t="s">
        <v>217</v>
      </c>
      <c r="F15" s="34" t="s">
        <v>106</v>
      </c>
      <c r="G15" s="163" t="str">
        <f>SUBSTITUTE($C$13,"{{EMAIL}}",E15)</f>
        <v xml:space="preserve">
Human: Please classify this email: Can I use my Mixmaster 4000 to mix paint, or is it only meant for mixing food?
Assistant:</v>
      </c>
      <c r="H15" s="12" t="s">
        <v>20</v>
      </c>
      <c r="I15" s="241" t="s">
        <v>620</v>
      </c>
      <c r="J15" s="36"/>
      <c r="K15" s="51" t="str">
        <f>RIGHT(I15, 1)</f>
        <v>.</v>
      </c>
      <c r="L15" s="10"/>
    </row>
    <row r="16" spans="1:13" ht="8.25" customHeight="1" x14ac:dyDescent="0.2">
      <c r="B16" s="49"/>
      <c r="C16" s="416"/>
      <c r="D16" s="52"/>
      <c r="F16" s="22"/>
      <c r="G16" s="13"/>
      <c r="H16" s="22"/>
      <c r="I16" s="3"/>
      <c r="J16" s="3"/>
      <c r="K16" s="3"/>
      <c r="L16" s="10"/>
    </row>
    <row r="17" spans="2:12" ht="210" x14ac:dyDescent="0.2">
      <c r="B17" s="49"/>
      <c r="C17" s="416"/>
      <c r="D17" s="50" t="s">
        <v>104</v>
      </c>
      <c r="E17" s="227" t="s">
        <v>219</v>
      </c>
      <c r="F17" s="34" t="s">
        <v>106</v>
      </c>
      <c r="G17" s="163" t="str">
        <f>SUBSTITUTE($C$13,"{{EMAIL}}",E17)</f>
        <v xml:space="preserve">
Human: Please classify this email: I HAVE BEEN WAITING 4 MONTHS FOR MY MONTHLY CHARGES TO END AFTER CANCELLING!!  WTF IS GOING ON???
Assistant:</v>
      </c>
      <c r="H17" s="12" t="s">
        <v>20</v>
      </c>
      <c r="I17" s="241" t="s">
        <v>623</v>
      </c>
      <c r="J17" s="36"/>
      <c r="K17" s="51" t="str">
        <f>RIGHT(I17, 1)</f>
        <v>.</v>
      </c>
      <c r="L17" s="10"/>
    </row>
    <row r="18" spans="2:12" ht="8.25" customHeight="1" x14ac:dyDescent="0.2">
      <c r="B18" s="49"/>
      <c r="C18" s="416"/>
      <c r="D18" s="52"/>
      <c r="F18" s="22"/>
      <c r="G18" s="13"/>
      <c r="H18" s="22"/>
      <c r="I18" s="3"/>
      <c r="J18" s="3"/>
      <c r="K18" s="3"/>
      <c r="L18" s="10"/>
    </row>
    <row r="19" spans="2:12" ht="226" thickBot="1" x14ac:dyDescent="0.25">
      <c r="B19" s="49"/>
      <c r="C19" s="416"/>
      <c r="D19" s="50" t="s">
        <v>104</v>
      </c>
      <c r="E19" s="227" t="s">
        <v>221</v>
      </c>
      <c r="F19" s="34" t="s">
        <v>106</v>
      </c>
      <c r="G19" s="163" t="str">
        <f>SUBSTITUTE($C$13,"{{EMAIL}}",E19)</f>
        <v xml:space="preserve">
Human: Please classify this email: How did I get here I am not good with computer.  Halp.
Assistant:</v>
      </c>
      <c r="H19" s="12" t="s">
        <v>20</v>
      </c>
      <c r="I19" s="241" t="s">
        <v>624</v>
      </c>
      <c r="J19" s="36"/>
      <c r="K19" s="51" t="str">
        <f>RIGHT(I19, 1)</f>
        <v>.</v>
      </c>
      <c r="L19" s="10"/>
    </row>
    <row r="20" spans="2:12" ht="15.75" customHeight="1" x14ac:dyDescent="0.2">
      <c r="B20" s="9"/>
      <c r="C20" s="61"/>
      <c r="D20" s="12"/>
      <c r="E20" s="36"/>
      <c r="F20" s="22"/>
      <c r="G20" s="36"/>
      <c r="H20" s="22"/>
      <c r="I20" s="36"/>
      <c r="J20" s="36"/>
      <c r="K20" s="36"/>
      <c r="L20" s="10"/>
    </row>
    <row r="21" spans="2:12" ht="17" collapsed="1" thickBot="1" x14ac:dyDescent="0.25">
      <c r="B21" s="21" t="s">
        <v>42</v>
      </c>
      <c r="C21" s="417" t="s">
        <v>43</v>
      </c>
      <c r="D21" s="271"/>
      <c r="E21" s="271"/>
      <c r="F21" s="271"/>
      <c r="G21" s="271"/>
      <c r="H21" s="271"/>
      <c r="I21" s="271"/>
      <c r="J21" s="271"/>
      <c r="K21" s="271"/>
      <c r="L21" s="272"/>
    </row>
    <row r="22" spans="2:12" ht="19.5" hidden="1" customHeight="1" outlineLevel="1" x14ac:dyDescent="0.2">
      <c r="B22" s="410" t="s">
        <v>263</v>
      </c>
      <c r="C22" s="271"/>
      <c r="D22" s="271"/>
      <c r="E22" s="271"/>
      <c r="F22" s="271"/>
      <c r="G22" s="271"/>
      <c r="H22" s="271"/>
      <c r="I22" s="271"/>
      <c r="J22" s="271"/>
      <c r="K22" s="271"/>
      <c r="L22" s="272"/>
    </row>
    <row r="23" spans="2:12" ht="45.75" hidden="1" customHeight="1" outlineLevel="1" x14ac:dyDescent="0.2">
      <c r="B23" s="44" t="s">
        <v>176</v>
      </c>
      <c r="C23" s="418" t="s">
        <v>264</v>
      </c>
      <c r="D23" s="271"/>
      <c r="E23" s="271"/>
      <c r="F23" s="271"/>
      <c r="G23" s="271"/>
      <c r="H23" s="271"/>
      <c r="I23" s="271"/>
      <c r="J23" s="271"/>
      <c r="K23" s="271"/>
      <c r="L23" s="272"/>
    </row>
    <row r="24" spans="2:12" ht="34.5" hidden="1" customHeight="1" outlineLevel="1" x14ac:dyDescent="0.2">
      <c r="B24" s="44" t="s">
        <v>178</v>
      </c>
      <c r="C24" s="418" t="s">
        <v>265</v>
      </c>
      <c r="D24" s="271"/>
      <c r="E24" s="271"/>
      <c r="F24" s="271"/>
      <c r="G24" s="271"/>
      <c r="H24" s="271"/>
      <c r="I24" s="271"/>
      <c r="J24" s="271"/>
      <c r="K24" s="271"/>
      <c r="L24" s="272"/>
    </row>
    <row r="25" spans="2:12" ht="21" hidden="1" customHeight="1" outlineLevel="1" x14ac:dyDescent="0.2">
      <c r="B25" s="44" t="s">
        <v>180</v>
      </c>
      <c r="C25" s="418" t="s">
        <v>266</v>
      </c>
      <c r="D25" s="271"/>
      <c r="E25" s="271"/>
      <c r="F25" s="271"/>
      <c r="G25" s="271"/>
      <c r="H25" s="271"/>
      <c r="I25" s="271"/>
      <c r="J25" s="271"/>
      <c r="K25" s="271"/>
      <c r="L25" s="272"/>
    </row>
    <row r="26" spans="2:12" ht="16" hidden="1" outlineLevel="1" thickBot="1" x14ac:dyDescent="0.25">
      <c r="B26" s="53"/>
      <c r="C26" s="414"/>
      <c r="D26" s="271"/>
      <c r="E26" s="271"/>
      <c r="F26" s="271"/>
      <c r="G26" s="271"/>
      <c r="H26" s="271"/>
      <c r="I26" s="271"/>
      <c r="J26" s="271"/>
      <c r="K26" s="271"/>
      <c r="L26" s="272"/>
    </row>
    <row r="27" spans="2:12" ht="33" hidden="1" outlineLevel="1" collapsed="1" thickBot="1" x14ac:dyDescent="0.25">
      <c r="B27" s="20" t="s">
        <v>230</v>
      </c>
      <c r="C27" s="409" t="s">
        <v>231</v>
      </c>
      <c r="D27" s="271"/>
      <c r="E27" s="271"/>
      <c r="F27" s="271"/>
      <c r="G27" s="271"/>
      <c r="H27" s="271"/>
      <c r="I27" s="271"/>
      <c r="J27" s="271"/>
      <c r="K27" s="271"/>
      <c r="L27" s="272"/>
    </row>
    <row r="28" spans="2:12" ht="15" hidden="1" outlineLevel="2" thickBot="1" x14ac:dyDescent="0.25">
      <c r="B28" s="410" t="s">
        <v>232</v>
      </c>
      <c r="C28" s="271"/>
      <c r="D28" s="271"/>
      <c r="E28" s="271"/>
      <c r="F28" s="271"/>
      <c r="G28" s="271"/>
      <c r="H28" s="271"/>
      <c r="I28" s="271"/>
      <c r="J28" s="271"/>
      <c r="K28" s="271"/>
      <c r="L28" s="272"/>
    </row>
    <row r="29" spans="2:12" ht="16" hidden="1" outlineLevel="2" thickBot="1" x14ac:dyDescent="0.25">
      <c r="B29" s="53"/>
      <c r="C29" s="35"/>
      <c r="D29" s="35"/>
      <c r="E29" s="35"/>
      <c r="F29" s="35"/>
      <c r="G29" s="35"/>
      <c r="H29" s="35"/>
      <c r="I29" s="35"/>
      <c r="J29" s="35"/>
      <c r="K29" s="35"/>
      <c r="L29" s="54"/>
    </row>
    <row r="30" spans="2:12" ht="16" hidden="1" outlineLevel="2" thickBot="1" x14ac:dyDescent="0.25">
      <c r="B30" s="53"/>
      <c r="C30" s="411" t="s">
        <v>233</v>
      </c>
      <c r="D30" s="412"/>
      <c r="E30" s="412"/>
      <c r="F30" s="55"/>
      <c r="G30" s="56"/>
      <c r="H30" s="27"/>
      <c r="I30" s="27" t="s">
        <v>234</v>
      </c>
      <c r="J30" s="35"/>
      <c r="K30" s="35"/>
      <c r="L30" s="54"/>
    </row>
    <row r="31" spans="2:12" ht="16" hidden="1" outlineLevel="2" thickBot="1" x14ac:dyDescent="0.25">
      <c r="B31" s="57"/>
      <c r="C31" s="413" t="s">
        <v>267</v>
      </c>
      <c r="D31" s="271"/>
      <c r="E31" s="271"/>
      <c r="F31" s="271"/>
      <c r="G31" s="271"/>
      <c r="H31" s="58"/>
      <c r="I31" s="59" t="s">
        <v>268</v>
      </c>
      <c r="J31" s="35"/>
      <c r="K31" s="35"/>
      <c r="L31" s="54"/>
    </row>
    <row r="32" spans="2:12" ht="16" hidden="1" outlineLevel="2" thickBot="1" x14ac:dyDescent="0.25">
      <c r="B32" s="57"/>
      <c r="C32" s="271"/>
      <c r="D32" s="271"/>
      <c r="E32" s="271"/>
      <c r="F32" s="271"/>
      <c r="G32" s="271"/>
      <c r="H32" s="58"/>
      <c r="I32" s="64" t="s">
        <v>269</v>
      </c>
      <c r="J32" s="35"/>
      <c r="K32" s="35"/>
      <c r="L32" s="54"/>
    </row>
    <row r="33" spans="2:12" ht="16" hidden="1" outlineLevel="2" thickBot="1" x14ac:dyDescent="0.25">
      <c r="B33" s="57"/>
      <c r="C33" s="271"/>
      <c r="D33" s="271"/>
      <c r="E33" s="271"/>
      <c r="F33" s="271"/>
      <c r="G33" s="271"/>
      <c r="H33" s="58"/>
      <c r="I33" s="60" t="s">
        <v>270</v>
      </c>
      <c r="J33" s="35"/>
      <c r="K33" s="35"/>
      <c r="L33" s="54"/>
    </row>
    <row r="34" spans="2:12" ht="74.25" hidden="1" customHeight="1" outlineLevel="2" x14ac:dyDescent="0.2">
      <c r="B34" s="57"/>
      <c r="C34" s="271"/>
      <c r="D34" s="271"/>
      <c r="E34" s="271"/>
      <c r="F34" s="271"/>
      <c r="G34" s="271"/>
      <c r="H34" s="58"/>
      <c r="I34" s="60"/>
      <c r="J34" s="35"/>
      <c r="K34" s="35"/>
      <c r="L34" s="54"/>
    </row>
    <row r="35" spans="2:12" ht="74.25" hidden="1" customHeight="1" outlineLevel="2" x14ac:dyDescent="0.2">
      <c r="B35" s="57"/>
      <c r="C35" s="271"/>
      <c r="D35" s="271"/>
      <c r="E35" s="271"/>
      <c r="F35" s="271"/>
      <c r="G35" s="271"/>
      <c r="H35" s="58"/>
      <c r="I35" s="60"/>
      <c r="J35" s="35"/>
      <c r="K35" s="35"/>
      <c r="L35" s="54"/>
    </row>
    <row r="36" spans="2:12" ht="74.25" hidden="1" customHeight="1" outlineLevel="2" x14ac:dyDescent="0.2">
      <c r="B36" s="57"/>
      <c r="C36" s="271"/>
      <c r="D36" s="271"/>
      <c r="E36" s="271"/>
      <c r="F36" s="271"/>
      <c r="G36" s="271"/>
      <c r="H36" s="58"/>
      <c r="I36" s="60"/>
      <c r="J36" s="35"/>
      <c r="K36" s="35"/>
      <c r="L36" s="54"/>
    </row>
    <row r="37" spans="2:12" ht="16" hidden="1" outlineLevel="2" thickBot="1" x14ac:dyDescent="0.25">
      <c r="B37" s="53"/>
      <c r="C37" s="61"/>
      <c r="D37" s="61"/>
      <c r="E37" s="61"/>
      <c r="F37" s="61"/>
      <c r="G37" s="61"/>
      <c r="H37" s="35"/>
      <c r="I37" s="35"/>
      <c r="J37" s="35"/>
      <c r="K37" s="35"/>
      <c r="L37" s="54"/>
    </row>
    <row r="38" spans="2:12" ht="14" x14ac:dyDescent="0.2">
      <c r="B38" s="8"/>
      <c r="C38" s="8"/>
      <c r="D38" s="24"/>
      <c r="E38" s="8"/>
      <c r="F38" s="24"/>
      <c r="G38" s="25"/>
      <c r="H38" s="24"/>
      <c r="I38" s="41"/>
      <c r="J38" s="41"/>
      <c r="K38" s="41"/>
      <c r="L38" s="8"/>
    </row>
    <row r="39" spans="2:12" ht="16" x14ac:dyDescent="0.2">
      <c r="B39" s="408" t="s">
        <v>271</v>
      </c>
      <c r="C39" s="408"/>
      <c r="D39" s="408"/>
      <c r="E39" s="408"/>
      <c r="H39" s="62"/>
      <c r="I39" s="298" t="s">
        <v>272</v>
      </c>
      <c r="J39" s="408"/>
      <c r="K39" s="408"/>
      <c r="L39" s="408"/>
    </row>
    <row r="40" spans="2:12" ht="14" x14ac:dyDescent="0.2">
      <c r="G40" s="13"/>
      <c r="H40" s="22"/>
      <c r="I40" s="3"/>
    </row>
    <row r="41" spans="2:12" ht="16" x14ac:dyDescent="0.2">
      <c r="B41" s="407" t="s">
        <v>37</v>
      </c>
      <c r="C41" s="408"/>
      <c r="D41" s="408"/>
      <c r="E41" s="408"/>
      <c r="F41" s="408"/>
      <c r="G41" s="408"/>
      <c r="H41" s="408"/>
      <c r="I41" s="408"/>
      <c r="J41" s="408"/>
      <c r="K41" s="408"/>
      <c r="L41" s="408"/>
    </row>
    <row r="42" spans="2:12" ht="15" x14ac:dyDescent="0.2">
      <c r="B42" s="63"/>
      <c r="C42" s="63"/>
      <c r="D42" s="63"/>
      <c r="E42" s="63"/>
      <c r="F42" s="63"/>
      <c r="G42" s="63"/>
      <c r="H42" s="63"/>
      <c r="I42" s="63"/>
      <c r="J42" s="63"/>
      <c r="K42" s="63"/>
      <c r="L42" s="63"/>
    </row>
    <row r="43" spans="2:12" ht="15" x14ac:dyDescent="0.2">
      <c r="B43" s="63"/>
      <c r="C43" s="63"/>
      <c r="D43" s="63"/>
      <c r="E43" s="63"/>
      <c r="F43" s="63"/>
      <c r="G43" s="63"/>
      <c r="H43" s="63"/>
      <c r="I43" s="63"/>
      <c r="J43" s="63"/>
      <c r="K43" s="63"/>
      <c r="L43" s="63"/>
    </row>
    <row r="44" spans="2:12" ht="15" x14ac:dyDescent="0.2">
      <c r="B44" s="63"/>
      <c r="C44" s="63"/>
      <c r="D44" s="63"/>
      <c r="E44" s="63"/>
      <c r="F44" s="63"/>
      <c r="G44" s="63"/>
      <c r="H44" s="63"/>
      <c r="I44" s="63"/>
      <c r="J44" s="63"/>
      <c r="K44" s="63"/>
      <c r="L44" s="63"/>
    </row>
    <row r="45" spans="2:12" ht="15" x14ac:dyDescent="0.2">
      <c r="B45" s="63"/>
      <c r="C45" s="63"/>
      <c r="D45" s="63"/>
      <c r="E45" s="63"/>
      <c r="F45" s="63"/>
      <c r="G45" s="63"/>
      <c r="H45" s="63"/>
      <c r="I45" s="63"/>
      <c r="J45" s="63"/>
      <c r="K45" s="63"/>
      <c r="L45" s="63"/>
    </row>
  </sheetData>
  <sheetProtection algorithmName="SHA-512" hashValue="HNGANSLH7e0zTryiAx/XMNATpw4TAqIEGaSCrwnTZujCe5zlhz/0Pw1R6aS9kcYQwIEXDP1iOm3zw8hiafmlbQ==" saltValue="Z1pHX+vTi+x1iaElIc9BhQ==" spinCount="100000" sheet="1" objects="1" scenarios="1"/>
  <mergeCells count="19">
    <mergeCell ref="B9:L9"/>
    <mergeCell ref="B4:L7"/>
    <mergeCell ref="B1:I1"/>
    <mergeCell ref="B3:E3"/>
    <mergeCell ref="I3:L3"/>
    <mergeCell ref="C26:L26"/>
    <mergeCell ref="C13:C19"/>
    <mergeCell ref="C21:L21"/>
    <mergeCell ref="B22:L22"/>
    <mergeCell ref="C23:L23"/>
    <mergeCell ref="C24:L24"/>
    <mergeCell ref="C25:L25"/>
    <mergeCell ref="B41:L41"/>
    <mergeCell ref="C27:L27"/>
    <mergeCell ref="B28:L28"/>
    <mergeCell ref="C30:E30"/>
    <mergeCell ref="C31:G36"/>
    <mergeCell ref="B39:E39"/>
    <mergeCell ref="I39:L39"/>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90.83203125" style="89" customWidth="1"/>
    <col min="4" max="4" width="4" style="89" customWidth="1"/>
    <col min="5" max="5" width="60.83203125" style="89" customWidth="1"/>
    <col min="6" max="6" width="3" style="89" customWidth="1"/>
    <col min="7" max="7" width="5.5" style="89" customWidth="1"/>
    <col min="8" max="16384" width="12.6640625" style="89"/>
  </cols>
  <sheetData>
    <row r="1" spans="1:7" ht="40" customHeight="1" x14ac:dyDescent="0.2">
      <c r="A1" s="88"/>
      <c r="B1" s="352" t="s">
        <v>273</v>
      </c>
      <c r="C1" s="283"/>
      <c r="D1" s="283"/>
      <c r="E1" s="283"/>
      <c r="F1" s="22"/>
      <c r="G1" s="22"/>
    </row>
    <row r="2" spans="1:7" ht="21.75" customHeight="1" thickBot="1" x14ac:dyDescent="0.25"/>
    <row r="3" spans="1:7" ht="29.25" customHeight="1" x14ac:dyDescent="0.2">
      <c r="A3" s="22"/>
      <c r="B3" s="314" t="s">
        <v>12</v>
      </c>
      <c r="C3" s="315"/>
      <c r="D3" s="315"/>
      <c r="E3" s="316"/>
      <c r="F3" s="317"/>
      <c r="G3" s="22"/>
    </row>
    <row r="4" spans="1:7" ht="14" x14ac:dyDescent="0.2">
      <c r="B4" s="430" t="s">
        <v>274</v>
      </c>
      <c r="C4" s="283"/>
      <c r="D4" s="283"/>
      <c r="E4" s="283"/>
      <c r="F4" s="286"/>
    </row>
    <row r="5" spans="1:7" ht="11.25" customHeight="1" x14ac:dyDescent="0.2">
      <c r="B5" s="164"/>
      <c r="C5" s="123"/>
      <c r="D5" s="123"/>
      <c r="E5" s="123"/>
      <c r="F5" s="165"/>
    </row>
    <row r="6" spans="1:7" ht="14" x14ac:dyDescent="0.2">
      <c r="B6" s="431" t="s">
        <v>275</v>
      </c>
      <c r="C6" s="283"/>
      <c r="D6" s="283"/>
      <c r="E6" s="283"/>
      <c r="F6" s="286"/>
    </row>
    <row r="7" spans="1:7" ht="16.5" customHeight="1" x14ac:dyDescent="0.2">
      <c r="B7" s="106" t="s">
        <v>276</v>
      </c>
      <c r="C7" s="432" t="s">
        <v>277</v>
      </c>
      <c r="D7" s="283"/>
      <c r="E7" s="283"/>
      <c r="F7" s="286"/>
    </row>
    <row r="8" spans="1:7" ht="16.5" customHeight="1" thickBot="1" x14ac:dyDescent="0.25">
      <c r="B8" s="166" t="s">
        <v>276</v>
      </c>
      <c r="C8" s="433" t="s">
        <v>278</v>
      </c>
      <c r="D8" s="434"/>
      <c r="E8" s="434"/>
      <c r="F8" s="435"/>
    </row>
    <row r="9" spans="1:7" ht="33.75" customHeight="1" thickBot="1" x14ac:dyDescent="0.25"/>
    <row r="10" spans="1:7" ht="29.25" customHeight="1" x14ac:dyDescent="0.2">
      <c r="B10" s="300" t="s">
        <v>13</v>
      </c>
      <c r="C10" s="301"/>
      <c r="D10" s="301"/>
      <c r="E10" s="302"/>
      <c r="F10" s="303"/>
    </row>
    <row r="11" spans="1:7" ht="14" x14ac:dyDescent="0.2">
      <c r="B11" s="344" t="s">
        <v>279</v>
      </c>
      <c r="C11" s="283"/>
      <c r="D11" s="283"/>
      <c r="E11" s="283"/>
      <c r="F11" s="284"/>
    </row>
    <row r="12" spans="1:7" ht="8.25" customHeight="1" x14ac:dyDescent="0.2">
      <c r="B12" s="93"/>
      <c r="F12" s="94"/>
    </row>
    <row r="13" spans="1:7" ht="14" x14ac:dyDescent="0.2">
      <c r="B13" s="93"/>
      <c r="C13" s="95" t="s">
        <v>17</v>
      </c>
      <c r="E13" s="95" t="s">
        <v>18</v>
      </c>
      <c r="F13" s="94"/>
    </row>
    <row r="14" spans="1:7" ht="75" x14ac:dyDescent="0.2">
      <c r="B14" s="93"/>
      <c r="C14" s="101" t="s">
        <v>280</v>
      </c>
      <c r="D14" s="12" t="s">
        <v>20</v>
      </c>
      <c r="E14" s="101" t="s">
        <v>281</v>
      </c>
      <c r="F14" s="94"/>
    </row>
    <row r="15" spans="1:7" ht="22.5" customHeight="1" x14ac:dyDescent="0.2">
      <c r="B15" s="93"/>
      <c r="F15" s="94"/>
    </row>
    <row r="16" spans="1:7" ht="14" x14ac:dyDescent="0.2">
      <c r="B16" s="344" t="s">
        <v>282</v>
      </c>
      <c r="C16" s="283"/>
      <c r="D16" s="283"/>
      <c r="E16" s="283"/>
      <c r="F16" s="284"/>
    </row>
    <row r="17" spans="1:7" ht="8.25" customHeight="1" x14ac:dyDescent="0.2">
      <c r="B17" s="93"/>
      <c r="F17" s="94"/>
    </row>
    <row r="18" spans="1:7" ht="14" x14ac:dyDescent="0.2">
      <c r="B18" s="93"/>
      <c r="C18" s="95" t="s">
        <v>17</v>
      </c>
      <c r="E18" s="95" t="s">
        <v>18</v>
      </c>
      <c r="F18" s="94"/>
    </row>
    <row r="19" spans="1:7" ht="75" x14ac:dyDescent="0.2">
      <c r="A19" s="97"/>
      <c r="B19" s="98"/>
      <c r="C19" s="117" t="s">
        <v>283</v>
      </c>
      <c r="D19" s="15" t="s">
        <v>20</v>
      </c>
      <c r="E19" s="96" t="s">
        <v>284</v>
      </c>
      <c r="F19" s="100"/>
      <c r="G19" s="97"/>
    </row>
    <row r="20" spans="1:7" ht="22.5" customHeight="1" x14ac:dyDescent="0.2">
      <c r="B20" s="93"/>
      <c r="F20" s="94"/>
    </row>
    <row r="21" spans="1:7" ht="14" customHeight="1" x14ac:dyDescent="0.2">
      <c r="B21" s="296" t="s">
        <v>285</v>
      </c>
      <c r="C21" s="288"/>
      <c r="D21" s="288"/>
      <c r="E21" s="288"/>
      <c r="F21" s="297"/>
    </row>
    <row r="22" spans="1:7" ht="14" customHeight="1" x14ac:dyDescent="0.2">
      <c r="B22" s="296"/>
      <c r="C22" s="288"/>
      <c r="D22" s="288"/>
      <c r="E22" s="288"/>
      <c r="F22" s="297"/>
    </row>
    <row r="23" spans="1:7" ht="14" customHeight="1" x14ac:dyDescent="0.2">
      <c r="B23" s="296"/>
      <c r="C23" s="288"/>
      <c r="D23" s="288"/>
      <c r="E23" s="288"/>
      <c r="F23" s="297"/>
    </row>
    <row r="24" spans="1:7" ht="15" customHeight="1" x14ac:dyDescent="0.2">
      <c r="B24" s="296"/>
      <c r="C24" s="288"/>
      <c r="D24" s="288"/>
      <c r="E24" s="288"/>
      <c r="F24" s="297"/>
    </row>
    <row r="25" spans="1:7" ht="15" customHeight="1" x14ac:dyDescent="0.2">
      <c r="B25" s="296"/>
      <c r="C25" s="288"/>
      <c r="D25" s="288"/>
      <c r="E25" s="288"/>
      <c r="F25" s="297"/>
    </row>
    <row r="26" spans="1:7" ht="8.25" customHeight="1" x14ac:dyDescent="0.2">
      <c r="B26" s="93"/>
      <c r="F26" s="94"/>
    </row>
    <row r="27" spans="1:7" ht="14" x14ac:dyDescent="0.2">
      <c r="B27" s="93"/>
      <c r="C27" s="95" t="s">
        <v>17</v>
      </c>
      <c r="E27" s="95" t="s">
        <v>18</v>
      </c>
      <c r="F27" s="94"/>
    </row>
    <row r="28" spans="1:7" ht="409.6" x14ac:dyDescent="0.2">
      <c r="B28" s="93"/>
      <c r="C28" s="167" t="s">
        <v>286</v>
      </c>
      <c r="D28" s="15" t="s">
        <v>20</v>
      </c>
      <c r="E28" s="99" t="s">
        <v>287</v>
      </c>
      <c r="F28" s="94"/>
    </row>
    <row r="29" spans="1:7" ht="22.5" customHeight="1" x14ac:dyDescent="0.2">
      <c r="B29" s="93"/>
      <c r="F29" s="94"/>
    </row>
    <row r="30" spans="1:7" ht="14" x14ac:dyDescent="0.2">
      <c r="B30" s="351" t="s">
        <v>288</v>
      </c>
      <c r="C30" s="283"/>
      <c r="D30" s="283"/>
      <c r="E30" s="283"/>
      <c r="F30" s="284"/>
    </row>
    <row r="31" spans="1:7" ht="8.25" customHeight="1" x14ac:dyDescent="0.2">
      <c r="B31" s="93"/>
      <c r="F31" s="94"/>
    </row>
    <row r="32" spans="1:7" ht="14" x14ac:dyDescent="0.2">
      <c r="B32" s="93"/>
      <c r="C32" s="95" t="s">
        <v>17</v>
      </c>
      <c r="E32" s="95" t="s">
        <v>18</v>
      </c>
      <c r="F32" s="94"/>
    </row>
    <row r="33" spans="2:6" ht="409.6" x14ac:dyDescent="0.2">
      <c r="B33" s="93"/>
      <c r="C33" s="136" t="s">
        <v>289</v>
      </c>
      <c r="D33" s="15" t="s">
        <v>20</v>
      </c>
      <c r="E33" s="121" t="s">
        <v>290</v>
      </c>
      <c r="F33" s="94"/>
    </row>
    <row r="34" spans="2:6" ht="22.5" customHeight="1" x14ac:dyDescent="0.2">
      <c r="B34" s="93"/>
      <c r="F34" s="94"/>
    </row>
    <row r="35" spans="2:6" ht="14" customHeight="1" x14ac:dyDescent="0.2">
      <c r="B35" s="427" t="s">
        <v>291</v>
      </c>
      <c r="C35" s="428"/>
      <c r="D35" s="428"/>
      <c r="E35" s="428"/>
      <c r="F35" s="429"/>
    </row>
    <row r="36" spans="2:6" ht="14" customHeight="1" x14ac:dyDescent="0.2">
      <c r="B36" s="427"/>
      <c r="C36" s="428"/>
      <c r="D36" s="428"/>
      <c r="E36" s="428"/>
      <c r="F36" s="429"/>
    </row>
    <row r="37" spans="2:6" ht="14" x14ac:dyDescent="0.2">
      <c r="B37" s="427"/>
      <c r="C37" s="428"/>
      <c r="D37" s="428"/>
      <c r="E37" s="428"/>
      <c r="F37" s="429"/>
    </row>
    <row r="38" spans="2:6" ht="14" x14ac:dyDescent="0.2">
      <c r="B38" s="427"/>
      <c r="C38" s="428"/>
      <c r="D38" s="428"/>
      <c r="E38" s="428"/>
      <c r="F38" s="429"/>
    </row>
    <row r="39" spans="2:6" ht="14" x14ac:dyDescent="0.2">
      <c r="B39" s="427"/>
      <c r="C39" s="428"/>
      <c r="D39" s="428"/>
      <c r="E39" s="428"/>
      <c r="F39" s="429"/>
    </row>
    <row r="40" spans="2:6" ht="11.25" customHeight="1" x14ac:dyDescent="0.2">
      <c r="B40" s="93"/>
      <c r="F40" s="94"/>
    </row>
    <row r="41" spans="2:6" ht="15" thickBot="1" x14ac:dyDescent="0.25">
      <c r="B41" s="345" t="s">
        <v>33</v>
      </c>
      <c r="C41" s="340"/>
      <c r="D41" s="340"/>
      <c r="E41" s="340"/>
      <c r="F41" s="341"/>
    </row>
    <row r="43" spans="2:6" ht="15.75" customHeight="1" x14ac:dyDescent="0.2">
      <c r="E43" s="299" t="s">
        <v>292</v>
      </c>
      <c r="F43" s="281"/>
    </row>
    <row r="44" spans="2:6" ht="33.75" customHeight="1" thickBot="1" x14ac:dyDescent="0.25"/>
    <row r="45" spans="2:6" ht="29.25" customHeight="1" x14ac:dyDescent="0.2">
      <c r="B45" s="300" t="s">
        <v>14</v>
      </c>
      <c r="C45" s="301"/>
      <c r="D45" s="301"/>
      <c r="E45" s="302"/>
      <c r="F45" s="303"/>
    </row>
    <row r="46" spans="2:6" ht="14" customHeight="1" x14ac:dyDescent="0.2">
      <c r="B46" s="296" t="s">
        <v>35</v>
      </c>
      <c r="C46" s="288"/>
      <c r="D46" s="288"/>
      <c r="E46" s="288"/>
      <c r="F46" s="297"/>
    </row>
    <row r="47" spans="2:6" ht="14" x14ac:dyDescent="0.2">
      <c r="B47" s="296"/>
      <c r="C47" s="288"/>
      <c r="D47" s="288"/>
      <c r="E47" s="288"/>
      <c r="F47" s="297"/>
    </row>
    <row r="48" spans="2:6" ht="14" x14ac:dyDescent="0.2">
      <c r="B48" s="296"/>
      <c r="C48" s="288"/>
      <c r="D48" s="288"/>
      <c r="E48" s="288"/>
      <c r="F48" s="297"/>
    </row>
    <row r="49" spans="1:7" ht="8.25" customHeight="1" x14ac:dyDescent="0.2">
      <c r="B49" s="93"/>
      <c r="F49" s="94"/>
    </row>
    <row r="50" spans="1:7" ht="14" x14ac:dyDescent="0.2">
      <c r="B50" s="93"/>
      <c r="C50" s="95" t="s">
        <v>17</v>
      </c>
      <c r="E50" s="95" t="s">
        <v>18</v>
      </c>
      <c r="F50" s="94"/>
    </row>
    <row r="51" spans="1:7" ht="75" x14ac:dyDescent="0.2">
      <c r="B51" s="93"/>
      <c r="C51" s="220" t="s">
        <v>280</v>
      </c>
      <c r="D51" s="12" t="s">
        <v>20</v>
      </c>
      <c r="E51" s="236" t="s">
        <v>281</v>
      </c>
      <c r="F51" s="94"/>
    </row>
    <row r="52" spans="1:7" ht="8.25" customHeight="1" x14ac:dyDescent="0.2">
      <c r="B52" s="282"/>
      <c r="C52" s="283"/>
      <c r="D52" s="283"/>
      <c r="E52" s="283"/>
      <c r="F52" s="284"/>
    </row>
    <row r="53" spans="1:7" ht="75" x14ac:dyDescent="0.2">
      <c r="A53" s="97"/>
      <c r="B53" s="98"/>
      <c r="C53" s="218" t="s">
        <v>283</v>
      </c>
      <c r="D53" s="15" t="s">
        <v>20</v>
      </c>
      <c r="E53" s="232" t="s">
        <v>284</v>
      </c>
      <c r="F53" s="100"/>
      <c r="G53" s="97"/>
    </row>
    <row r="54" spans="1:7" ht="8.25" customHeight="1" x14ac:dyDescent="0.2">
      <c r="B54" s="93"/>
      <c r="F54" s="94"/>
    </row>
    <row r="55" spans="1:7" ht="409.6" x14ac:dyDescent="0.2">
      <c r="B55" s="93"/>
      <c r="C55" s="219" t="s">
        <v>286</v>
      </c>
      <c r="D55" s="15" t="s">
        <v>20</v>
      </c>
      <c r="E55" s="237" t="s">
        <v>287</v>
      </c>
      <c r="F55" s="94"/>
    </row>
    <row r="56" spans="1:7" ht="8.25" customHeight="1" x14ac:dyDescent="0.2">
      <c r="B56" s="93"/>
      <c r="F56" s="94"/>
    </row>
    <row r="57" spans="1:7" ht="409.6" x14ac:dyDescent="0.2">
      <c r="B57" s="93"/>
      <c r="C57" s="222" t="s">
        <v>289</v>
      </c>
      <c r="D57" s="15" t="s">
        <v>20</v>
      </c>
      <c r="E57" s="233" t="s">
        <v>290</v>
      </c>
      <c r="F57" s="94"/>
    </row>
    <row r="58" spans="1:7" ht="15" thickBot="1" x14ac:dyDescent="0.25">
      <c r="B58" s="103"/>
      <c r="C58" s="40"/>
      <c r="D58" s="40"/>
      <c r="E58" s="40"/>
      <c r="F58" s="104"/>
    </row>
    <row r="60" spans="1:7" ht="16" x14ac:dyDescent="0.2">
      <c r="B60" s="281" t="s">
        <v>293</v>
      </c>
      <c r="C60" s="281"/>
      <c r="D60" s="281"/>
      <c r="E60" s="299" t="s">
        <v>292</v>
      </c>
      <c r="F60" s="281"/>
    </row>
    <row r="61" spans="1:7" ht="8.25" customHeight="1" x14ac:dyDescent="0.2"/>
    <row r="62" spans="1:7" ht="16" x14ac:dyDescent="0.2">
      <c r="B62" s="280" t="s">
        <v>37</v>
      </c>
      <c r="C62" s="281"/>
      <c r="D62" s="281"/>
      <c r="E62" s="281"/>
      <c r="F62" s="281"/>
    </row>
  </sheetData>
  <sheetProtection algorithmName="SHA-512" hashValue="idt6P29qNocwIcjttUMExh3WrVDln+yAeAmtCJZx3Eaxf4k1/3A8Dg27U2XtWDl4GcCsgKzOrY5dC8Kq3KNZUg==" saltValue="Pmaw5RQVxZ+laJPc9JSpFg==" spinCount="100000" sheet="1" objects="1" scenarios="1"/>
  <mergeCells count="23">
    <mergeCell ref="B11:F11"/>
    <mergeCell ref="B1:E1"/>
    <mergeCell ref="B3:D3"/>
    <mergeCell ref="E3:F3"/>
    <mergeCell ref="B4:F4"/>
    <mergeCell ref="B6:F6"/>
    <mergeCell ref="C7:F7"/>
    <mergeCell ref="C8:F8"/>
    <mergeCell ref="B10:D10"/>
    <mergeCell ref="E10:F10"/>
    <mergeCell ref="E43:F43"/>
    <mergeCell ref="B16:F16"/>
    <mergeCell ref="B30:F30"/>
    <mergeCell ref="B21:F25"/>
    <mergeCell ref="B35:F39"/>
    <mergeCell ref="B41:F41"/>
    <mergeCell ref="B45:D45"/>
    <mergeCell ref="E45:F45"/>
    <mergeCell ref="B52:F52"/>
    <mergeCell ref="B46:F48"/>
    <mergeCell ref="B62:F62"/>
    <mergeCell ref="B60:D60"/>
    <mergeCell ref="E60:F6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70.83203125" style="89" customWidth="1"/>
    <col min="4" max="4" width="4" style="89" customWidth="1"/>
    <col min="5" max="5" width="80.83203125" style="89" customWidth="1"/>
    <col min="6" max="6" width="3" style="89" customWidth="1"/>
    <col min="7" max="7" width="5.5" style="89" customWidth="1"/>
    <col min="8" max="16384" width="12.6640625" style="89"/>
  </cols>
  <sheetData>
    <row r="1" spans="1:7" ht="40" customHeight="1" x14ac:dyDescent="0.2">
      <c r="A1" s="88"/>
      <c r="B1" s="352" t="s">
        <v>294</v>
      </c>
      <c r="C1" s="283"/>
      <c r="D1" s="283"/>
      <c r="E1" s="283"/>
      <c r="F1" s="22"/>
      <c r="G1" s="22"/>
    </row>
    <row r="2" spans="1:7" ht="21.75" customHeight="1" thickBot="1" x14ac:dyDescent="0.25"/>
    <row r="3" spans="1:7" ht="29.25" customHeight="1" x14ac:dyDescent="0.2">
      <c r="A3" s="22"/>
      <c r="B3" s="300" t="s">
        <v>295</v>
      </c>
      <c r="C3" s="301"/>
      <c r="D3" s="301"/>
      <c r="E3" s="302"/>
      <c r="F3" s="303"/>
      <c r="G3" s="22"/>
    </row>
    <row r="4" spans="1:7" ht="14" customHeight="1" x14ac:dyDescent="0.2">
      <c r="B4" s="296" t="s">
        <v>297</v>
      </c>
      <c r="C4" s="288"/>
      <c r="D4" s="288"/>
      <c r="E4" s="288"/>
      <c r="F4" s="297"/>
    </row>
    <row r="5" spans="1:7" ht="15" customHeight="1" x14ac:dyDescent="0.2">
      <c r="B5" s="296"/>
      <c r="C5" s="288"/>
      <c r="D5" s="288"/>
      <c r="E5" s="288"/>
      <c r="F5" s="297"/>
    </row>
    <row r="6" spans="1:7" ht="15" customHeight="1" x14ac:dyDescent="0.2">
      <c r="B6" s="296"/>
      <c r="C6" s="288"/>
      <c r="D6" s="288"/>
      <c r="E6" s="288"/>
      <c r="F6" s="297"/>
    </row>
    <row r="7" spans="1:7" ht="8.25" customHeight="1" x14ac:dyDescent="0.2">
      <c r="B7" s="93"/>
      <c r="F7" s="94"/>
    </row>
    <row r="8" spans="1:7" ht="15.75" customHeight="1" x14ac:dyDescent="0.2">
      <c r="B8" s="93"/>
      <c r="C8" s="95" t="s">
        <v>17</v>
      </c>
      <c r="E8" s="95" t="s">
        <v>18</v>
      </c>
      <c r="F8" s="94"/>
    </row>
    <row r="9" spans="1:7" ht="75" x14ac:dyDescent="0.2">
      <c r="B9" s="93"/>
      <c r="C9" s="222" t="s">
        <v>626</v>
      </c>
      <c r="D9" s="12" t="s">
        <v>20</v>
      </c>
      <c r="E9" s="237" t="s">
        <v>627</v>
      </c>
      <c r="F9" s="94"/>
    </row>
    <row r="10" spans="1:7" ht="15.75" customHeight="1" x14ac:dyDescent="0.2">
      <c r="B10" s="93"/>
      <c r="F10" s="94"/>
    </row>
    <row r="11" spans="1:7" ht="16" collapsed="1" thickBot="1" x14ac:dyDescent="0.25">
      <c r="B11" s="84" t="s">
        <v>42</v>
      </c>
      <c r="C11" s="332" t="s">
        <v>43</v>
      </c>
      <c r="D11" s="283"/>
      <c r="E11" s="283"/>
      <c r="F11" s="284"/>
    </row>
    <row r="12" spans="1:7" ht="15" hidden="1" outlineLevel="1" thickBot="1" x14ac:dyDescent="0.25">
      <c r="B12" s="333" t="s">
        <v>298</v>
      </c>
      <c r="C12" s="283"/>
      <c r="D12" s="283"/>
      <c r="E12" s="283"/>
      <c r="F12" s="284"/>
    </row>
    <row r="13" spans="1:7" ht="33.75" customHeight="1" thickBot="1" x14ac:dyDescent="0.25">
      <c r="B13" s="24"/>
      <c r="C13" s="24"/>
      <c r="D13" s="24"/>
      <c r="E13" s="24"/>
      <c r="F13" s="24"/>
    </row>
    <row r="14" spans="1:7" ht="29.25" customHeight="1" x14ac:dyDescent="0.2">
      <c r="A14" s="22"/>
      <c r="B14" s="300" t="s">
        <v>296</v>
      </c>
      <c r="C14" s="301"/>
      <c r="D14" s="301"/>
      <c r="E14" s="302"/>
      <c r="F14" s="303"/>
      <c r="G14" s="22"/>
    </row>
    <row r="15" spans="1:7" ht="14" customHeight="1" x14ac:dyDescent="0.2">
      <c r="B15" s="296" t="s">
        <v>299</v>
      </c>
      <c r="C15" s="288"/>
      <c r="D15" s="288"/>
      <c r="E15" s="288"/>
      <c r="F15" s="297"/>
    </row>
    <row r="16" spans="1:7" ht="14" customHeight="1" x14ac:dyDescent="0.2">
      <c r="B16" s="296"/>
      <c r="C16" s="288"/>
      <c r="D16" s="288"/>
      <c r="E16" s="288"/>
      <c r="F16" s="297"/>
    </row>
    <row r="17" spans="2:6" ht="14" x14ac:dyDescent="0.2">
      <c r="B17" s="296"/>
      <c r="C17" s="288"/>
      <c r="D17" s="288"/>
      <c r="E17" s="288"/>
      <c r="F17" s="297"/>
    </row>
    <row r="18" spans="2:6" ht="8.25" customHeight="1" x14ac:dyDescent="0.2">
      <c r="B18" s="93"/>
      <c r="F18" s="94"/>
    </row>
    <row r="19" spans="2:6" ht="15.75" customHeight="1" x14ac:dyDescent="0.2">
      <c r="B19" s="93"/>
      <c r="C19" s="95" t="s">
        <v>17</v>
      </c>
      <c r="E19" s="95" t="s">
        <v>18</v>
      </c>
      <c r="F19" s="94"/>
    </row>
    <row r="20" spans="2:6" ht="409.6" x14ac:dyDescent="0.2">
      <c r="B20" s="93"/>
      <c r="C20" s="222" t="s">
        <v>628</v>
      </c>
      <c r="D20" s="12" t="s">
        <v>20</v>
      </c>
      <c r="E20" s="237" t="s">
        <v>629</v>
      </c>
      <c r="F20" s="94"/>
    </row>
    <row r="21" spans="2:6" ht="15.75" customHeight="1" x14ac:dyDescent="0.2">
      <c r="B21" s="93"/>
      <c r="F21" s="94"/>
    </row>
    <row r="22" spans="2:6" ht="16" collapsed="1" thickBot="1" x14ac:dyDescent="0.25">
      <c r="B22" s="84" t="s">
        <v>42</v>
      </c>
      <c r="C22" s="332" t="s">
        <v>43</v>
      </c>
      <c r="D22" s="283"/>
      <c r="E22" s="283"/>
      <c r="F22" s="284"/>
    </row>
    <row r="23" spans="2:6" ht="15" hidden="1" outlineLevel="1" thickBot="1" x14ac:dyDescent="0.25">
      <c r="B23" s="333" t="s">
        <v>300</v>
      </c>
      <c r="C23" s="283"/>
      <c r="D23" s="283"/>
      <c r="E23" s="283"/>
      <c r="F23" s="284"/>
    </row>
    <row r="24" spans="2:6" ht="14" x14ac:dyDescent="0.2">
      <c r="B24" s="24"/>
      <c r="C24" s="24"/>
      <c r="D24" s="24"/>
      <c r="E24" s="24"/>
      <c r="F24" s="24"/>
    </row>
    <row r="25" spans="2:6" ht="16" x14ac:dyDescent="0.2">
      <c r="B25" s="281" t="s">
        <v>301</v>
      </c>
      <c r="C25" s="281"/>
      <c r="D25" s="281"/>
      <c r="E25" s="299" t="s">
        <v>302</v>
      </c>
      <c r="F25" s="281"/>
    </row>
    <row r="26" spans="2:6" ht="8.25" customHeight="1" x14ac:dyDescent="0.2"/>
    <row r="27" spans="2:6" ht="16" x14ac:dyDescent="0.2">
      <c r="B27" s="280" t="s">
        <v>37</v>
      </c>
      <c r="C27" s="281"/>
      <c r="D27" s="281"/>
      <c r="E27" s="281"/>
      <c r="F27" s="281"/>
    </row>
  </sheetData>
  <sheetProtection algorithmName="SHA-512" hashValue="ISRU16Ilo4ImqERLtfkXOgz0YFH/lp2Rv1Rmbn75/ARLue1ACPSVFMKcMDTc/vNeJF3O5iWVqLQGfTGidvZUUg==" saltValue="I1SOfRJ9R+I2h+WSpDtcKg==" spinCount="100000" sheet="1" objects="1" scenarios="1"/>
  <mergeCells count="14">
    <mergeCell ref="B4:F6"/>
    <mergeCell ref="B15:F17"/>
    <mergeCell ref="B1:E1"/>
    <mergeCell ref="B3:D3"/>
    <mergeCell ref="E3:F3"/>
    <mergeCell ref="B27:F27"/>
    <mergeCell ref="C11:F11"/>
    <mergeCell ref="B12:F12"/>
    <mergeCell ref="B14:D14"/>
    <mergeCell ref="E14:F14"/>
    <mergeCell ref="C22:F22"/>
    <mergeCell ref="B23:F23"/>
    <mergeCell ref="B25:D25"/>
    <mergeCell ref="E25:F25"/>
  </mergeCells>
  <conditionalFormatting sqref="E9">
    <cfRule type="expression" dxfId="2" priority="1">
      <formula>MATCH("I don't know",E9,0)</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89" customWidth="1"/>
    <col min="2" max="2" width="3" style="89" customWidth="1"/>
    <col min="3" max="3" width="4" style="89" customWidth="1"/>
    <col min="4" max="4" width="19.83203125" style="89" customWidth="1"/>
    <col min="5" max="5" width="1.5" style="89" customWidth="1"/>
    <col min="6" max="6" width="36.1640625" style="89" customWidth="1"/>
    <col min="7" max="7" width="4" style="89" customWidth="1"/>
    <col min="8" max="8" width="25.6640625" style="89" customWidth="1"/>
    <col min="9" max="9" width="4" style="89" customWidth="1"/>
    <col min="10" max="10" width="43"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52" t="s">
        <v>303</v>
      </c>
      <c r="C1" s="283"/>
      <c r="D1" s="283"/>
      <c r="E1" s="283"/>
      <c r="F1" s="283"/>
      <c r="G1" s="283"/>
      <c r="H1" s="283"/>
      <c r="I1" s="283"/>
      <c r="J1" s="283"/>
      <c r="K1" s="22"/>
      <c r="L1" s="22"/>
      <c r="M1" s="22"/>
      <c r="N1" s="22"/>
    </row>
    <row r="2" spans="1:14" ht="21.75" customHeight="1" thickBot="1" x14ac:dyDescent="0.25">
      <c r="C2" s="12"/>
      <c r="H2" s="97"/>
      <c r="J2" s="22"/>
      <c r="K2" s="22"/>
      <c r="L2" s="22"/>
    </row>
    <row r="3" spans="1:14" ht="29.25" customHeight="1" x14ac:dyDescent="0.2">
      <c r="A3" s="22"/>
      <c r="B3" s="314" t="s">
        <v>12</v>
      </c>
      <c r="C3" s="315"/>
      <c r="D3" s="315"/>
      <c r="E3" s="315"/>
      <c r="F3" s="315"/>
      <c r="G3" s="134"/>
      <c r="H3" s="135"/>
      <c r="I3" s="134"/>
      <c r="J3" s="182"/>
      <c r="K3" s="182"/>
      <c r="L3" s="316"/>
      <c r="M3" s="317"/>
      <c r="N3" s="22"/>
    </row>
    <row r="4" spans="1:14" ht="15" customHeight="1" x14ac:dyDescent="0.2">
      <c r="B4" s="287" t="s">
        <v>305</v>
      </c>
      <c r="C4" s="288"/>
      <c r="D4" s="288"/>
      <c r="E4" s="288"/>
      <c r="F4" s="288"/>
      <c r="G4" s="288"/>
      <c r="H4" s="288"/>
      <c r="I4" s="288"/>
      <c r="J4" s="288"/>
      <c r="K4" s="288"/>
      <c r="L4" s="288"/>
      <c r="M4" s="289"/>
    </row>
    <row r="5" spans="1:14" ht="15" customHeight="1" x14ac:dyDescent="0.2">
      <c r="B5" s="287"/>
      <c r="C5" s="288"/>
      <c r="D5" s="288"/>
      <c r="E5" s="288"/>
      <c r="F5" s="288"/>
      <c r="G5" s="288"/>
      <c r="H5" s="288"/>
      <c r="I5" s="288"/>
      <c r="J5" s="288"/>
      <c r="K5" s="288"/>
      <c r="L5" s="288"/>
      <c r="M5" s="289"/>
    </row>
    <row r="6" spans="1:14" ht="15" customHeight="1" x14ac:dyDescent="0.2">
      <c r="B6" s="287"/>
      <c r="C6" s="288"/>
      <c r="D6" s="288"/>
      <c r="E6" s="288"/>
      <c r="F6" s="288"/>
      <c r="G6" s="288"/>
      <c r="H6" s="288"/>
      <c r="I6" s="288"/>
      <c r="J6" s="288"/>
      <c r="K6" s="288"/>
      <c r="L6" s="288"/>
      <c r="M6" s="289"/>
    </row>
    <row r="7" spans="1:14" ht="15" customHeight="1" x14ac:dyDescent="0.2">
      <c r="B7" s="287"/>
      <c r="C7" s="288"/>
      <c r="D7" s="288"/>
      <c r="E7" s="288"/>
      <c r="F7" s="288"/>
      <c r="G7" s="288"/>
      <c r="H7" s="288"/>
      <c r="I7" s="288"/>
      <c r="J7" s="288"/>
      <c r="K7" s="288"/>
      <c r="L7" s="288"/>
      <c r="M7" s="289"/>
    </row>
    <row r="8" spans="1:14" ht="15" customHeight="1" x14ac:dyDescent="0.2">
      <c r="B8" s="287"/>
      <c r="C8" s="288"/>
      <c r="D8" s="288"/>
      <c r="E8" s="288"/>
      <c r="F8" s="288"/>
      <c r="G8" s="288"/>
      <c r="H8" s="288"/>
      <c r="I8" s="288"/>
      <c r="J8" s="288"/>
      <c r="K8" s="288"/>
      <c r="L8" s="288"/>
      <c r="M8" s="289"/>
    </row>
    <row r="9" spans="1:14" ht="15" customHeight="1" x14ac:dyDescent="0.2">
      <c r="B9" s="287"/>
      <c r="C9" s="288"/>
      <c r="D9" s="288"/>
      <c r="E9" s="288"/>
      <c r="F9" s="288"/>
      <c r="G9" s="288"/>
      <c r="H9" s="288"/>
      <c r="I9" s="288"/>
      <c r="J9" s="288"/>
      <c r="K9" s="288"/>
      <c r="L9" s="288"/>
      <c r="M9" s="289"/>
    </row>
    <row r="10" spans="1:14" ht="15" customHeight="1" thickBot="1" x14ac:dyDescent="0.25">
      <c r="B10" s="362"/>
      <c r="C10" s="363"/>
      <c r="D10" s="363"/>
      <c r="E10" s="363"/>
      <c r="F10" s="363"/>
      <c r="G10" s="363"/>
      <c r="H10" s="363"/>
      <c r="I10" s="363"/>
      <c r="J10" s="363"/>
      <c r="K10" s="363"/>
      <c r="L10" s="363"/>
      <c r="M10" s="364"/>
    </row>
    <row r="11" spans="1:14" ht="33.75" customHeight="1" thickBot="1" x14ac:dyDescent="0.25">
      <c r="C11" s="12"/>
      <c r="H11" s="97"/>
      <c r="J11" s="22"/>
      <c r="K11" s="22"/>
      <c r="L11" s="22"/>
    </row>
    <row r="12" spans="1:14" ht="29.25" customHeight="1" x14ac:dyDescent="0.2">
      <c r="B12" s="300" t="s">
        <v>304</v>
      </c>
      <c r="C12" s="301"/>
      <c r="D12" s="301"/>
      <c r="E12" s="301"/>
      <c r="F12" s="301"/>
      <c r="G12" s="24"/>
      <c r="H12" s="127"/>
      <c r="I12" s="24"/>
      <c r="J12" s="168"/>
      <c r="K12" s="168"/>
      <c r="L12" s="302"/>
      <c r="M12" s="303"/>
    </row>
    <row r="13" spans="1:14" ht="14" customHeight="1" x14ac:dyDescent="0.2">
      <c r="B13" s="296" t="s">
        <v>306</v>
      </c>
      <c r="C13" s="288"/>
      <c r="D13" s="288"/>
      <c r="E13" s="288"/>
      <c r="F13" s="288"/>
      <c r="G13" s="288"/>
      <c r="H13" s="288"/>
      <c r="I13" s="288"/>
      <c r="J13" s="288"/>
      <c r="K13" s="288"/>
      <c r="L13" s="288"/>
      <c r="M13" s="297"/>
    </row>
    <row r="14" spans="1:14" ht="14" customHeight="1" x14ac:dyDescent="0.2">
      <c r="B14" s="296"/>
      <c r="C14" s="288"/>
      <c r="D14" s="288"/>
      <c r="E14" s="288"/>
      <c r="F14" s="288"/>
      <c r="G14" s="288"/>
      <c r="H14" s="288"/>
      <c r="I14" s="288"/>
      <c r="J14" s="288"/>
      <c r="K14" s="288"/>
      <c r="L14" s="288"/>
      <c r="M14" s="297"/>
    </row>
    <row r="15" spans="1:14" ht="14" customHeight="1" x14ac:dyDescent="0.2">
      <c r="B15" s="296"/>
      <c r="C15" s="288"/>
      <c r="D15" s="288"/>
      <c r="E15" s="288"/>
      <c r="F15" s="288"/>
      <c r="G15" s="288"/>
      <c r="H15" s="288"/>
      <c r="I15" s="288"/>
      <c r="J15" s="288"/>
      <c r="K15" s="288"/>
      <c r="L15" s="288"/>
      <c r="M15" s="297"/>
    </row>
    <row r="16" spans="1:14" ht="14" x14ac:dyDescent="0.2">
      <c r="B16" s="296"/>
      <c r="C16" s="288"/>
      <c r="D16" s="288"/>
      <c r="E16" s="288"/>
      <c r="F16" s="288"/>
      <c r="G16" s="288"/>
      <c r="H16" s="288"/>
      <c r="I16" s="288"/>
      <c r="J16" s="288"/>
      <c r="K16" s="288"/>
      <c r="L16" s="288"/>
      <c r="M16" s="297"/>
    </row>
    <row r="17" spans="1:13" ht="8.25" customHeight="1" x14ac:dyDescent="0.2">
      <c r="B17" s="93"/>
      <c r="C17" s="12"/>
      <c r="H17" s="97"/>
      <c r="J17" s="22"/>
      <c r="K17" s="22"/>
      <c r="L17" s="22"/>
      <c r="M17" s="94"/>
    </row>
    <row r="18" spans="1:13" ht="16" x14ac:dyDescent="0.2">
      <c r="A18" s="28"/>
      <c r="B18" s="128"/>
      <c r="C18" s="169"/>
      <c r="D18" s="129" t="s">
        <v>307</v>
      </c>
      <c r="E18" s="28"/>
      <c r="F18" s="129" t="s">
        <v>308</v>
      </c>
      <c r="G18" s="28"/>
      <c r="H18" s="129" t="s">
        <v>304</v>
      </c>
      <c r="I18" s="129"/>
      <c r="J18" s="129"/>
      <c r="L18" s="130" t="s">
        <v>309</v>
      </c>
      <c r="M18" s="131"/>
    </row>
    <row r="19" spans="1:13" ht="3.75" customHeight="1" x14ac:dyDescent="0.2">
      <c r="B19" s="93"/>
      <c r="C19" s="170"/>
      <c r="D19" s="129"/>
      <c r="F19" s="129"/>
      <c r="H19" s="22"/>
      <c r="I19" s="22"/>
      <c r="J19" s="22"/>
      <c r="L19" s="171"/>
      <c r="M19" s="94"/>
    </row>
    <row r="20" spans="1:13" ht="42" x14ac:dyDescent="0.2">
      <c r="B20" s="93"/>
      <c r="C20" s="172" t="s">
        <v>176</v>
      </c>
      <c r="D20" s="130" t="s">
        <v>310</v>
      </c>
      <c r="E20" s="12"/>
      <c r="F20" s="132" t="s">
        <v>311</v>
      </c>
      <c r="H20" s="436" t="s">
        <v>312</v>
      </c>
      <c r="I20" s="437"/>
      <c r="J20" s="438"/>
      <c r="L20" s="173" t="s">
        <v>313</v>
      </c>
      <c r="M20" s="94"/>
    </row>
    <row r="21" spans="1:13" ht="15.75" customHeight="1" x14ac:dyDescent="0.2">
      <c r="B21" s="93"/>
      <c r="C21" s="174"/>
      <c r="D21" s="37"/>
      <c r="E21" s="12"/>
      <c r="F21" s="97"/>
      <c r="H21" s="97"/>
      <c r="I21" s="97"/>
      <c r="J21" s="97"/>
      <c r="L21" s="97"/>
      <c r="M21" s="94"/>
    </row>
    <row r="22" spans="1:13" ht="45" x14ac:dyDescent="0.2">
      <c r="B22" s="93"/>
      <c r="C22" s="172" t="s">
        <v>178</v>
      </c>
      <c r="D22" s="130" t="s">
        <v>314</v>
      </c>
      <c r="E22" s="12"/>
      <c r="F22" s="132" t="s">
        <v>315</v>
      </c>
      <c r="H22" s="436" t="s">
        <v>316</v>
      </c>
      <c r="I22" s="437"/>
      <c r="J22" s="438"/>
      <c r="L22" s="173" t="s">
        <v>317</v>
      </c>
      <c r="M22" s="94"/>
    </row>
    <row r="23" spans="1:13" ht="15.75" customHeight="1" x14ac:dyDescent="0.2">
      <c r="A23" s="175"/>
      <c r="B23" s="93"/>
      <c r="M23" s="94"/>
    </row>
    <row r="24" spans="1:13" ht="28" x14ac:dyDescent="0.2">
      <c r="A24" s="175"/>
      <c r="B24" s="176"/>
      <c r="C24" s="177" t="s">
        <v>180</v>
      </c>
      <c r="D24" s="178" t="s">
        <v>318</v>
      </c>
      <c r="E24" s="179"/>
      <c r="F24" s="180" t="s">
        <v>319</v>
      </c>
      <c r="G24" s="179"/>
      <c r="H24" s="449" t="s">
        <v>320</v>
      </c>
      <c r="I24" s="437"/>
      <c r="J24" s="438"/>
      <c r="L24" s="181" t="s">
        <v>321</v>
      </c>
      <c r="M24" s="175"/>
    </row>
    <row r="25" spans="1:13" ht="15.75" customHeight="1" x14ac:dyDescent="0.2">
      <c r="B25" s="93"/>
      <c r="M25" s="94"/>
    </row>
    <row r="26" spans="1:13" ht="94" customHeight="1" x14ac:dyDescent="0.2">
      <c r="B26" s="93"/>
      <c r="C26" s="172" t="s">
        <v>228</v>
      </c>
      <c r="D26" s="130" t="s">
        <v>322</v>
      </c>
      <c r="E26" s="12"/>
      <c r="F26" s="132" t="s">
        <v>323</v>
      </c>
      <c r="H26" s="436" t="s">
        <v>324</v>
      </c>
      <c r="I26" s="437"/>
      <c r="J26" s="438"/>
      <c r="L26" s="173" t="s">
        <v>325</v>
      </c>
      <c r="M26" s="94"/>
    </row>
    <row r="27" spans="1:13" ht="15.75" customHeight="1" x14ac:dyDescent="0.2">
      <c r="B27" s="93"/>
      <c r="C27" s="12"/>
      <c r="H27" s="22"/>
      <c r="I27" s="22"/>
      <c r="J27" s="22"/>
      <c r="L27" s="97"/>
      <c r="M27" s="94"/>
    </row>
    <row r="28" spans="1:13" ht="120" x14ac:dyDescent="0.2">
      <c r="B28" s="93"/>
      <c r="C28" s="172" t="s">
        <v>326</v>
      </c>
      <c r="D28" s="130" t="s">
        <v>13</v>
      </c>
      <c r="E28" s="12"/>
      <c r="F28" s="132" t="s">
        <v>327</v>
      </c>
      <c r="H28" s="436" t="s">
        <v>328</v>
      </c>
      <c r="I28" s="437"/>
      <c r="J28" s="438"/>
      <c r="L28" s="173" t="s">
        <v>329</v>
      </c>
      <c r="M28" s="94"/>
    </row>
    <row r="29" spans="1:13" ht="15.75" customHeight="1" x14ac:dyDescent="0.2">
      <c r="B29" s="93"/>
      <c r="C29" s="12"/>
      <c r="D29" s="95"/>
      <c r="H29" s="22"/>
      <c r="I29" s="22"/>
      <c r="J29" s="22"/>
      <c r="L29" s="97"/>
      <c r="M29" s="94"/>
    </row>
    <row r="30" spans="1:13" ht="172" customHeight="1" x14ac:dyDescent="0.2">
      <c r="B30" s="93"/>
      <c r="C30" s="172" t="s">
        <v>330</v>
      </c>
      <c r="D30" s="130" t="s">
        <v>331</v>
      </c>
      <c r="E30" s="12"/>
      <c r="F30" s="132" t="s">
        <v>332</v>
      </c>
      <c r="H30" s="436" t="s">
        <v>333</v>
      </c>
      <c r="I30" s="437"/>
      <c r="J30" s="438"/>
      <c r="L30" s="173" t="s">
        <v>334</v>
      </c>
      <c r="M30" s="94"/>
    </row>
    <row r="31" spans="1:13" ht="15.75" customHeight="1" x14ac:dyDescent="0.2">
      <c r="B31" s="93"/>
      <c r="C31" s="12"/>
      <c r="D31" s="95"/>
      <c r="H31" s="22"/>
      <c r="I31" s="22"/>
      <c r="J31" s="22"/>
      <c r="L31" s="97"/>
      <c r="M31" s="94"/>
    </row>
    <row r="32" spans="1:13" ht="75" x14ac:dyDescent="0.2">
      <c r="B32" s="93"/>
      <c r="C32" s="172" t="s">
        <v>335</v>
      </c>
      <c r="D32" s="130" t="s">
        <v>336</v>
      </c>
      <c r="E32" s="12"/>
      <c r="F32" s="132" t="s">
        <v>337</v>
      </c>
      <c r="H32" s="436" t="s">
        <v>338</v>
      </c>
      <c r="I32" s="437"/>
      <c r="J32" s="438"/>
      <c r="L32" s="173" t="s">
        <v>339</v>
      </c>
      <c r="M32" s="94"/>
    </row>
    <row r="33" spans="1:14" ht="15.75" customHeight="1" x14ac:dyDescent="0.2">
      <c r="B33" s="93"/>
      <c r="C33" s="12"/>
      <c r="D33" s="95"/>
      <c r="H33" s="22"/>
      <c r="I33" s="22"/>
      <c r="J33" s="22"/>
      <c r="L33" s="97"/>
      <c r="M33" s="94"/>
    </row>
    <row r="34" spans="1:14" ht="75" x14ac:dyDescent="0.2">
      <c r="B34" s="93"/>
      <c r="C34" s="172" t="s">
        <v>340</v>
      </c>
      <c r="D34" s="130" t="s">
        <v>341</v>
      </c>
      <c r="E34" s="12"/>
      <c r="F34" s="132" t="s">
        <v>342</v>
      </c>
      <c r="H34" s="436" t="s">
        <v>343</v>
      </c>
      <c r="I34" s="437"/>
      <c r="J34" s="438"/>
      <c r="L34" s="173" t="s">
        <v>344</v>
      </c>
      <c r="M34" s="94"/>
    </row>
    <row r="35" spans="1:14" ht="15.75" customHeight="1" x14ac:dyDescent="0.2">
      <c r="B35" s="93"/>
      <c r="C35" s="12"/>
      <c r="D35" s="95"/>
      <c r="H35" s="22"/>
      <c r="I35" s="22"/>
      <c r="J35" s="22"/>
      <c r="L35" s="97"/>
      <c r="M35" s="94"/>
    </row>
    <row r="36" spans="1:14" ht="60" x14ac:dyDescent="0.2">
      <c r="B36" s="93"/>
      <c r="C36" s="172" t="s">
        <v>345</v>
      </c>
      <c r="D36" s="130" t="s">
        <v>346</v>
      </c>
      <c r="E36" s="12"/>
      <c r="F36" s="132" t="s">
        <v>347</v>
      </c>
      <c r="H36" s="436" t="s">
        <v>348</v>
      </c>
      <c r="I36" s="437"/>
      <c r="J36" s="438"/>
      <c r="L36" s="173" t="s">
        <v>349</v>
      </c>
      <c r="M36" s="94"/>
    </row>
    <row r="37" spans="1:14" ht="15.75" customHeight="1" x14ac:dyDescent="0.2">
      <c r="B37" s="93"/>
      <c r="C37" s="12"/>
      <c r="D37" s="95"/>
      <c r="H37" s="22"/>
      <c r="I37" s="22"/>
      <c r="J37" s="22"/>
      <c r="L37" s="97"/>
      <c r="M37" s="94"/>
    </row>
    <row r="38" spans="1:14" ht="112" x14ac:dyDescent="0.2">
      <c r="B38" s="93"/>
      <c r="C38" s="172" t="s">
        <v>350</v>
      </c>
      <c r="D38" s="130" t="s">
        <v>351</v>
      </c>
      <c r="E38" s="12"/>
      <c r="F38" s="132" t="s">
        <v>352</v>
      </c>
      <c r="H38" s="436" t="s">
        <v>353</v>
      </c>
      <c r="I38" s="437"/>
      <c r="J38" s="438"/>
      <c r="L38" s="173" t="s">
        <v>354</v>
      </c>
      <c r="M38" s="94"/>
    </row>
    <row r="39" spans="1:14" ht="22.5" customHeight="1" x14ac:dyDescent="0.2">
      <c r="B39" s="93"/>
      <c r="C39" s="12"/>
      <c r="H39" s="97"/>
      <c r="J39" s="22"/>
      <c r="K39" s="22"/>
      <c r="L39" s="22"/>
      <c r="M39" s="94"/>
    </row>
    <row r="40" spans="1:14" ht="14" customHeight="1" x14ac:dyDescent="0.2">
      <c r="B40" s="296" t="s">
        <v>355</v>
      </c>
      <c r="C40" s="288"/>
      <c r="D40" s="288"/>
      <c r="E40" s="288"/>
      <c r="F40" s="288"/>
      <c r="G40" s="288"/>
      <c r="H40" s="288"/>
      <c r="I40" s="288"/>
      <c r="J40" s="288"/>
      <c r="K40" s="288"/>
      <c r="L40" s="288"/>
      <c r="M40" s="297"/>
    </row>
    <row r="41" spans="1:14" ht="14" x14ac:dyDescent="0.2">
      <c r="B41" s="296"/>
      <c r="C41" s="288"/>
      <c r="D41" s="288"/>
      <c r="E41" s="288"/>
      <c r="F41" s="288"/>
      <c r="G41" s="288"/>
      <c r="H41" s="288"/>
      <c r="I41" s="288"/>
      <c r="J41" s="288"/>
      <c r="K41" s="288"/>
      <c r="L41" s="288"/>
      <c r="M41" s="297"/>
    </row>
    <row r="42" spans="1:14" ht="14" x14ac:dyDescent="0.2">
      <c r="B42" s="296"/>
      <c r="C42" s="288"/>
      <c r="D42" s="288"/>
      <c r="E42" s="288"/>
      <c r="F42" s="288"/>
      <c r="G42" s="288"/>
      <c r="H42" s="288"/>
      <c r="I42" s="288"/>
      <c r="J42" s="288"/>
      <c r="K42" s="288"/>
      <c r="L42" s="288"/>
      <c r="M42" s="297"/>
    </row>
    <row r="43" spans="1:14" ht="8.25" customHeight="1" x14ac:dyDescent="0.2">
      <c r="B43" s="93"/>
      <c r="C43" s="12"/>
      <c r="H43" s="97"/>
      <c r="J43" s="22"/>
      <c r="K43" s="22"/>
      <c r="L43" s="22"/>
      <c r="M43" s="94"/>
    </row>
    <row r="44" spans="1:14" ht="16" thickBot="1" x14ac:dyDescent="0.25">
      <c r="A44" s="28"/>
      <c r="B44" s="128"/>
      <c r="C44" s="169"/>
      <c r="D44" s="439" t="s">
        <v>356</v>
      </c>
      <c r="E44" s="283"/>
      <c r="F44" s="283"/>
      <c r="G44" s="28"/>
      <c r="H44" s="129" t="s">
        <v>357</v>
      </c>
      <c r="I44" s="28"/>
      <c r="J44" s="129" t="s">
        <v>358</v>
      </c>
      <c r="K44" s="129"/>
      <c r="L44" s="129" t="s">
        <v>18</v>
      </c>
      <c r="M44" s="131"/>
      <c r="N44" s="28"/>
    </row>
    <row r="45" spans="1:14" ht="409.6" x14ac:dyDescent="0.2">
      <c r="A45" s="97"/>
      <c r="B45" s="98"/>
      <c r="C45" s="15"/>
      <c r="D45" s="440"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441"/>
      <c r="F45" s="442"/>
      <c r="G45" s="32" t="s">
        <v>104</v>
      </c>
      <c r="H45" s="144" t="s">
        <v>359</v>
      </c>
      <c r="I45" s="369" t="s">
        <v>106</v>
      </c>
      <c r="J45" s="370"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336" t="s">
        <v>20</v>
      </c>
      <c r="L45" s="387" t="s">
        <v>360</v>
      </c>
      <c r="M45" s="100"/>
      <c r="N45" s="97"/>
    </row>
    <row r="46" spans="1:14" ht="8.25" customHeight="1" x14ac:dyDescent="0.2">
      <c r="B46" s="93"/>
      <c r="C46" s="12"/>
      <c r="D46" s="443"/>
      <c r="E46" s="444"/>
      <c r="F46" s="445"/>
      <c r="I46" s="283"/>
      <c r="J46" s="371"/>
      <c r="K46" s="283"/>
      <c r="L46" s="312"/>
      <c r="M46" s="94"/>
    </row>
    <row r="47" spans="1:14" ht="15.75" customHeight="1" x14ac:dyDescent="0.2">
      <c r="B47" s="93"/>
      <c r="C47" s="12"/>
      <c r="D47" s="443"/>
      <c r="E47" s="444"/>
      <c r="F47" s="445"/>
      <c r="H47" s="129" t="s">
        <v>132</v>
      </c>
      <c r="I47" s="283"/>
      <c r="J47" s="371"/>
      <c r="K47" s="283"/>
      <c r="L47" s="312"/>
      <c r="M47" s="94"/>
    </row>
    <row r="48" spans="1:14" ht="138" customHeight="1" thickBot="1" x14ac:dyDescent="0.25">
      <c r="B48" s="93"/>
      <c r="C48" s="12"/>
      <c r="D48" s="446"/>
      <c r="E48" s="447"/>
      <c r="F48" s="448"/>
      <c r="G48" s="32" t="s">
        <v>104</v>
      </c>
      <c r="H48" s="144" t="s">
        <v>361</v>
      </c>
      <c r="I48" s="283"/>
      <c r="J48" s="371"/>
      <c r="K48" s="283"/>
      <c r="L48" s="312"/>
      <c r="M48" s="94"/>
    </row>
    <row r="49" spans="2:13" ht="15.75" customHeight="1" thickBot="1" x14ac:dyDescent="0.25">
      <c r="B49" s="103"/>
      <c r="C49" s="39"/>
      <c r="D49" s="40"/>
      <c r="E49" s="40"/>
      <c r="F49" s="40"/>
      <c r="G49" s="40"/>
      <c r="H49" s="118"/>
      <c r="I49" s="40"/>
      <c r="J49" s="40"/>
      <c r="K49" s="40"/>
      <c r="L49" s="40"/>
      <c r="M49" s="104"/>
    </row>
    <row r="50" spans="2:13" ht="14" x14ac:dyDescent="0.2">
      <c r="C50" s="12"/>
      <c r="H50" s="97"/>
      <c r="J50" s="22"/>
      <c r="K50" s="22"/>
      <c r="L50" s="22"/>
    </row>
    <row r="51" spans="2:13" ht="16" x14ac:dyDescent="0.2">
      <c r="B51" s="281" t="s">
        <v>362</v>
      </c>
      <c r="C51" s="281"/>
      <c r="D51" s="281"/>
      <c r="E51" s="281"/>
      <c r="F51" s="281"/>
      <c r="I51" s="299" t="s">
        <v>363</v>
      </c>
      <c r="J51" s="281"/>
      <c r="K51" s="281"/>
      <c r="L51" s="281"/>
      <c r="M51" s="281"/>
    </row>
    <row r="52" spans="2:13" ht="8.25" customHeight="1" x14ac:dyDescent="0.2"/>
    <row r="53" spans="2:13" ht="16" x14ac:dyDescent="0.2">
      <c r="B53" s="280" t="s">
        <v>37</v>
      </c>
      <c r="C53" s="281"/>
      <c r="D53" s="281"/>
      <c r="E53" s="281"/>
      <c r="F53" s="281"/>
      <c r="G53" s="281"/>
      <c r="H53" s="281"/>
      <c r="I53" s="281"/>
      <c r="J53" s="281"/>
      <c r="K53" s="281"/>
      <c r="L53" s="281"/>
      <c r="M53" s="281"/>
    </row>
    <row r="54" spans="2:13" ht="14" x14ac:dyDescent="0.2">
      <c r="C54" s="12"/>
      <c r="H54" s="97"/>
      <c r="J54" s="22"/>
      <c r="K54" s="22"/>
      <c r="L54" s="22"/>
    </row>
    <row r="55" spans="2:13" ht="14" x14ac:dyDescent="0.2">
      <c r="C55" s="12"/>
      <c r="H55" s="97"/>
      <c r="J55" s="22"/>
      <c r="K55" s="22"/>
      <c r="L55" s="22"/>
    </row>
    <row r="56" spans="2:13" ht="14" x14ac:dyDescent="0.2">
      <c r="C56" s="12"/>
      <c r="H56" s="97"/>
      <c r="J56" s="22"/>
      <c r="K56" s="22"/>
      <c r="L56" s="22"/>
    </row>
    <row r="57" spans="2:13" ht="14" x14ac:dyDescent="0.2">
      <c r="C57" s="12"/>
      <c r="H57" s="97"/>
      <c r="J57" s="22"/>
      <c r="K57" s="22"/>
      <c r="L57" s="22"/>
    </row>
  </sheetData>
  <sheetProtection algorithmName="SHA-512" hashValue="UL5YUA28Nrpf9362s3DC4AxtEpSNWYrxb7uqsAY/j2AOu6KuNbgeGtpqC/Lv6KNfkTnU+LoiAbr2aFoIxTWuTw==" saltValue="BEnHzknCrkoohCDpKJmJmA==" spinCount="100000" sheet="1" objects="1" scenarios="1"/>
  <mergeCells count="27">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 ref="H34:J34"/>
    <mergeCell ref="B53:M53"/>
    <mergeCell ref="H38:J38"/>
    <mergeCell ref="D44:F44"/>
    <mergeCell ref="D45:F48"/>
    <mergeCell ref="I45:I48"/>
    <mergeCell ref="J45:J48"/>
    <mergeCell ref="K45:K48"/>
    <mergeCell ref="L45:L48"/>
    <mergeCell ref="B51:F51"/>
    <mergeCell ref="I51:M51"/>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33.33203125" style="89" customWidth="1"/>
    <col min="7" max="7" width="4" style="89" customWidth="1"/>
    <col min="8" max="8" width="36.6640625" style="89" customWidth="1"/>
    <col min="9" max="9" width="4" style="89" customWidth="1"/>
    <col min="10" max="10" width="35.16406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52" t="s">
        <v>364</v>
      </c>
      <c r="C1" s="283"/>
      <c r="D1" s="283"/>
      <c r="E1" s="283"/>
      <c r="F1" s="283"/>
      <c r="G1" s="283"/>
      <c r="H1" s="283"/>
      <c r="I1" s="283"/>
      <c r="J1" s="283"/>
      <c r="K1" s="22"/>
      <c r="L1" s="22"/>
      <c r="M1" s="22"/>
      <c r="N1" s="22"/>
    </row>
    <row r="2" spans="1:14" ht="21.75" customHeight="1" thickBot="1" x14ac:dyDescent="0.25">
      <c r="C2" s="12"/>
      <c r="H2" s="97"/>
      <c r="J2" s="22"/>
      <c r="K2" s="22"/>
      <c r="L2" s="22"/>
    </row>
    <row r="3" spans="1:14" ht="29.25" customHeight="1" x14ac:dyDescent="0.2">
      <c r="A3" s="22"/>
      <c r="B3" s="300" t="s">
        <v>12</v>
      </c>
      <c r="C3" s="301"/>
      <c r="D3" s="301"/>
      <c r="E3" s="301"/>
      <c r="F3" s="301"/>
      <c r="G3" s="24"/>
      <c r="H3" s="127"/>
      <c r="I3" s="24"/>
      <c r="J3" s="168"/>
      <c r="K3" s="168"/>
      <c r="L3" s="302"/>
      <c r="M3" s="303"/>
      <c r="N3" s="22"/>
    </row>
    <row r="4" spans="1:14" ht="15" customHeight="1" x14ac:dyDescent="0.2">
      <c r="B4" s="296" t="s">
        <v>365</v>
      </c>
      <c r="C4" s="288"/>
      <c r="D4" s="288"/>
      <c r="E4" s="288"/>
      <c r="F4" s="288"/>
      <c r="G4" s="288"/>
      <c r="H4" s="288"/>
      <c r="I4" s="288"/>
      <c r="J4" s="288"/>
      <c r="K4" s="288"/>
      <c r="L4" s="288"/>
      <c r="M4" s="297"/>
    </row>
    <row r="5" spans="1:14" ht="15" customHeight="1" x14ac:dyDescent="0.2">
      <c r="B5" s="296"/>
      <c r="C5" s="288"/>
      <c r="D5" s="288"/>
      <c r="E5" s="288"/>
      <c r="F5" s="288"/>
      <c r="G5" s="288"/>
      <c r="H5" s="288"/>
      <c r="I5" s="288"/>
      <c r="J5" s="288"/>
      <c r="K5" s="288"/>
      <c r="L5" s="288"/>
      <c r="M5" s="297"/>
    </row>
    <row r="6" spans="1:14" ht="15" customHeight="1" x14ac:dyDescent="0.2">
      <c r="B6" s="296"/>
      <c r="C6" s="288"/>
      <c r="D6" s="288"/>
      <c r="E6" s="288"/>
      <c r="F6" s="288"/>
      <c r="G6" s="288"/>
      <c r="H6" s="288"/>
      <c r="I6" s="288"/>
      <c r="J6" s="288"/>
      <c r="K6" s="288"/>
      <c r="L6" s="288"/>
      <c r="M6" s="297"/>
    </row>
    <row r="7" spans="1:14" ht="15" customHeight="1" x14ac:dyDescent="0.2">
      <c r="B7" s="296"/>
      <c r="C7" s="288"/>
      <c r="D7" s="288"/>
      <c r="E7" s="288"/>
      <c r="F7" s="288"/>
      <c r="G7" s="288"/>
      <c r="H7" s="288"/>
      <c r="I7" s="288"/>
      <c r="J7" s="288"/>
      <c r="K7" s="288"/>
      <c r="L7" s="288"/>
      <c r="M7" s="297"/>
    </row>
    <row r="8" spans="1:14" ht="15" customHeight="1" x14ac:dyDescent="0.2">
      <c r="B8" s="296"/>
      <c r="C8" s="288"/>
      <c r="D8" s="288"/>
      <c r="E8" s="288"/>
      <c r="F8" s="288"/>
      <c r="G8" s="288"/>
      <c r="H8" s="288"/>
      <c r="I8" s="288"/>
      <c r="J8" s="288"/>
      <c r="K8" s="288"/>
      <c r="L8" s="288"/>
      <c r="M8" s="297"/>
    </row>
    <row r="9" spans="1:14" ht="15" customHeight="1" x14ac:dyDescent="0.2">
      <c r="B9" s="296"/>
      <c r="C9" s="288"/>
      <c r="D9" s="288"/>
      <c r="E9" s="288"/>
      <c r="F9" s="288"/>
      <c r="G9" s="288"/>
      <c r="H9" s="288"/>
      <c r="I9" s="288"/>
      <c r="J9" s="288"/>
      <c r="K9" s="288"/>
      <c r="L9" s="288"/>
      <c r="M9" s="297"/>
    </row>
    <row r="10" spans="1:14" ht="15" customHeight="1" thickBot="1" x14ac:dyDescent="0.25">
      <c r="B10" s="348"/>
      <c r="C10" s="349"/>
      <c r="D10" s="349"/>
      <c r="E10" s="349"/>
      <c r="F10" s="349"/>
      <c r="G10" s="349"/>
      <c r="H10" s="349"/>
      <c r="I10" s="349"/>
      <c r="J10" s="349"/>
      <c r="K10" s="349"/>
      <c r="L10" s="349"/>
      <c r="M10" s="350"/>
    </row>
    <row r="11" spans="1:14" ht="33.75" customHeight="1" thickBot="1" x14ac:dyDescent="0.25">
      <c r="C11" s="12"/>
      <c r="H11" s="97"/>
      <c r="J11" s="22"/>
      <c r="K11" s="22"/>
      <c r="L11" s="22"/>
    </row>
    <row r="12" spans="1:14" ht="29.25" customHeight="1" x14ac:dyDescent="0.2">
      <c r="B12" s="300" t="s">
        <v>304</v>
      </c>
      <c r="C12" s="301"/>
      <c r="D12" s="301"/>
      <c r="E12" s="301"/>
      <c r="F12" s="301"/>
      <c r="G12" s="24"/>
      <c r="H12" s="127"/>
      <c r="I12" s="24"/>
      <c r="J12" s="168"/>
      <c r="K12" s="168"/>
      <c r="L12" s="302"/>
      <c r="M12" s="303"/>
    </row>
    <row r="13" spans="1:14" ht="14" customHeight="1" x14ac:dyDescent="0.2">
      <c r="B13" s="296" t="s">
        <v>583</v>
      </c>
      <c r="C13" s="288"/>
      <c r="D13" s="288"/>
      <c r="E13" s="288"/>
      <c r="F13" s="288"/>
      <c r="G13" s="288"/>
      <c r="H13" s="288"/>
      <c r="I13" s="288"/>
      <c r="J13" s="288"/>
      <c r="K13" s="288"/>
      <c r="L13" s="288"/>
      <c r="M13" s="297"/>
    </row>
    <row r="14" spans="1:14" ht="14" x14ac:dyDescent="0.2">
      <c r="B14" s="296"/>
      <c r="C14" s="288"/>
      <c r="D14" s="288"/>
      <c r="E14" s="288"/>
      <c r="F14" s="288"/>
      <c r="G14" s="288"/>
      <c r="H14" s="288"/>
      <c r="I14" s="288"/>
      <c r="J14" s="288"/>
      <c r="K14" s="288"/>
      <c r="L14" s="288"/>
      <c r="M14" s="297"/>
    </row>
    <row r="15" spans="1:14" ht="14" x14ac:dyDescent="0.2">
      <c r="B15" s="296"/>
      <c r="C15" s="288"/>
      <c r="D15" s="288"/>
      <c r="E15" s="288"/>
      <c r="F15" s="288"/>
      <c r="G15" s="288"/>
      <c r="H15" s="288"/>
      <c r="I15" s="288"/>
      <c r="J15" s="288"/>
      <c r="K15" s="288"/>
      <c r="L15" s="288"/>
      <c r="M15" s="297"/>
    </row>
    <row r="16" spans="1:14" ht="8.25" customHeight="1" x14ac:dyDescent="0.2">
      <c r="B16" s="93"/>
      <c r="C16" s="12"/>
      <c r="H16" s="97"/>
      <c r="J16" s="22"/>
      <c r="K16" s="22"/>
      <c r="L16" s="22"/>
      <c r="M16" s="94"/>
    </row>
    <row r="17" spans="1:13" ht="15.75" customHeight="1" x14ac:dyDescent="0.2">
      <c r="A17" s="28"/>
      <c r="B17" s="128"/>
      <c r="C17" s="169"/>
      <c r="D17" s="129" t="s">
        <v>307</v>
      </c>
      <c r="E17" s="28"/>
      <c r="F17" s="129" t="s">
        <v>308</v>
      </c>
      <c r="G17" s="28"/>
      <c r="H17" s="129" t="s">
        <v>304</v>
      </c>
      <c r="I17" s="129"/>
      <c r="J17" s="129"/>
      <c r="L17" s="130" t="s">
        <v>366</v>
      </c>
      <c r="M17" s="131"/>
    </row>
    <row r="18" spans="1:13" ht="3.75" customHeight="1" x14ac:dyDescent="0.2">
      <c r="B18" s="93"/>
      <c r="C18" s="170"/>
      <c r="D18" s="129"/>
      <c r="F18" s="129"/>
      <c r="H18" s="22"/>
      <c r="I18" s="22"/>
      <c r="J18" s="22"/>
      <c r="L18" s="171"/>
      <c r="M18" s="94"/>
    </row>
    <row r="19" spans="1:13" ht="42" x14ac:dyDescent="0.2">
      <c r="B19" s="93"/>
      <c r="C19" s="172" t="s">
        <v>176</v>
      </c>
      <c r="D19" s="130" t="s">
        <v>310</v>
      </c>
      <c r="E19" s="12"/>
      <c r="F19" s="132" t="s">
        <v>311</v>
      </c>
      <c r="H19" s="436" t="s">
        <v>312</v>
      </c>
      <c r="I19" s="437"/>
      <c r="J19" s="438"/>
      <c r="L19" s="173" t="s">
        <v>313</v>
      </c>
      <c r="M19" s="94"/>
    </row>
    <row r="20" spans="1:13" ht="15.75" customHeight="1" x14ac:dyDescent="0.2">
      <c r="B20" s="93"/>
      <c r="C20" s="174"/>
      <c r="D20" s="37"/>
      <c r="E20" s="12"/>
      <c r="F20" s="97"/>
      <c r="H20" s="97"/>
      <c r="I20" s="97"/>
      <c r="J20" s="97"/>
      <c r="L20" s="97"/>
      <c r="M20" s="94"/>
    </row>
    <row r="21" spans="1:13" ht="45" x14ac:dyDescent="0.2">
      <c r="B21" s="93"/>
      <c r="C21" s="172" t="s">
        <v>178</v>
      </c>
      <c r="D21" s="130" t="s">
        <v>314</v>
      </c>
      <c r="E21" s="12"/>
      <c r="F21" s="132" t="s">
        <v>315</v>
      </c>
      <c r="H21" s="436" t="s">
        <v>367</v>
      </c>
      <c r="I21" s="437"/>
      <c r="J21" s="438"/>
      <c r="L21" s="173" t="s">
        <v>317</v>
      </c>
      <c r="M21" s="94"/>
    </row>
    <row r="22" spans="1:13" ht="15.75" customHeight="1" x14ac:dyDescent="0.2">
      <c r="A22" s="175"/>
      <c r="B22" s="93"/>
      <c r="M22" s="94"/>
    </row>
    <row r="23" spans="1:13" ht="28" x14ac:dyDescent="0.2">
      <c r="A23" s="175"/>
      <c r="B23" s="176"/>
      <c r="C23" s="177" t="s">
        <v>180</v>
      </c>
      <c r="D23" s="178" t="s">
        <v>318</v>
      </c>
      <c r="E23" s="179"/>
      <c r="F23" s="180" t="s">
        <v>319</v>
      </c>
      <c r="G23" s="179"/>
      <c r="H23" s="449" t="s">
        <v>368</v>
      </c>
      <c r="I23" s="437"/>
      <c r="J23" s="438"/>
      <c r="L23" s="181" t="s">
        <v>321</v>
      </c>
      <c r="M23" s="175"/>
    </row>
    <row r="24" spans="1:13" ht="15.75" customHeight="1" x14ac:dyDescent="0.2">
      <c r="B24" s="93"/>
      <c r="M24" s="94"/>
    </row>
    <row r="25" spans="1:13" ht="75" x14ac:dyDescent="0.2">
      <c r="B25" s="93"/>
      <c r="C25" s="172" t="s">
        <v>228</v>
      </c>
      <c r="D25" s="130" t="s">
        <v>331</v>
      </c>
      <c r="E25" s="12"/>
      <c r="F25" s="132" t="s">
        <v>332</v>
      </c>
      <c r="H25" s="436" t="s">
        <v>369</v>
      </c>
      <c r="I25" s="437"/>
      <c r="J25" s="438"/>
      <c r="L25" s="173" t="s">
        <v>370</v>
      </c>
      <c r="M25" s="94"/>
    </row>
    <row r="26" spans="1:13" ht="15.75" customHeight="1" x14ac:dyDescent="0.2">
      <c r="B26" s="93"/>
      <c r="C26" s="12"/>
      <c r="H26" s="22"/>
      <c r="I26" s="22"/>
      <c r="J26" s="22"/>
      <c r="L26" s="97"/>
      <c r="M26" s="94"/>
    </row>
    <row r="27" spans="1:13" ht="63.75" customHeight="1" x14ac:dyDescent="0.2">
      <c r="B27" s="93"/>
      <c r="C27" s="172" t="s">
        <v>326</v>
      </c>
      <c r="D27" s="130" t="s">
        <v>13</v>
      </c>
      <c r="E27" s="12"/>
      <c r="F27" s="450" t="s">
        <v>371</v>
      </c>
      <c r="H27" s="451" t="s">
        <v>372</v>
      </c>
      <c r="I27" s="452"/>
      <c r="J27" s="453"/>
      <c r="L27" s="457" t="s">
        <v>373</v>
      </c>
      <c r="M27" s="94"/>
    </row>
    <row r="28" spans="1:13" ht="63.75" customHeight="1" x14ac:dyDescent="0.2">
      <c r="B28" s="93"/>
      <c r="C28" s="174"/>
      <c r="D28" s="130"/>
      <c r="E28" s="12"/>
      <c r="F28" s="312"/>
      <c r="H28" s="461"/>
      <c r="I28" s="444"/>
      <c r="J28" s="462"/>
      <c r="L28" s="312"/>
      <c r="M28" s="94"/>
    </row>
    <row r="29" spans="1:13" ht="63.75" customHeight="1" x14ac:dyDescent="0.2">
      <c r="B29" s="93"/>
      <c r="C29" s="174"/>
      <c r="D29" s="130"/>
      <c r="E29" s="12"/>
      <c r="F29" s="312"/>
      <c r="H29" s="461"/>
      <c r="I29" s="444"/>
      <c r="J29" s="462"/>
      <c r="L29" s="312"/>
      <c r="M29" s="94"/>
    </row>
    <row r="30" spans="1:13" ht="63.75" customHeight="1" x14ac:dyDescent="0.2">
      <c r="B30" s="93"/>
      <c r="C30" s="174"/>
      <c r="D30" s="130"/>
      <c r="E30" s="12"/>
      <c r="F30" s="312"/>
      <c r="H30" s="461"/>
      <c r="I30" s="444"/>
      <c r="J30" s="462"/>
      <c r="L30" s="312"/>
      <c r="M30" s="94"/>
    </row>
    <row r="31" spans="1:13" ht="63.75" customHeight="1" x14ac:dyDescent="0.2">
      <c r="B31" s="93"/>
      <c r="C31" s="174"/>
      <c r="D31" s="130"/>
      <c r="E31" s="12"/>
      <c r="F31" s="312"/>
      <c r="H31" s="461"/>
      <c r="I31" s="444"/>
      <c r="J31" s="462"/>
      <c r="L31" s="312"/>
      <c r="M31" s="94"/>
    </row>
    <row r="32" spans="1:13" ht="63.75" customHeight="1" x14ac:dyDescent="0.2">
      <c r="B32" s="93"/>
      <c r="C32" s="174"/>
      <c r="D32" s="130"/>
      <c r="E32" s="12"/>
      <c r="F32" s="312"/>
      <c r="H32" s="461"/>
      <c r="I32" s="444"/>
      <c r="J32" s="462"/>
      <c r="L32" s="312"/>
      <c r="M32" s="94"/>
    </row>
    <row r="33" spans="2:13" ht="63.75" customHeight="1" x14ac:dyDescent="0.2">
      <c r="B33" s="93"/>
      <c r="C33" s="174"/>
      <c r="D33" s="130"/>
      <c r="E33" s="12"/>
      <c r="F33" s="312"/>
      <c r="H33" s="461"/>
      <c r="I33" s="444"/>
      <c r="J33" s="462"/>
      <c r="L33" s="312"/>
      <c r="M33" s="94"/>
    </row>
    <row r="34" spans="2:13" ht="63.75" customHeight="1" x14ac:dyDescent="0.2">
      <c r="B34" s="93"/>
      <c r="C34" s="174"/>
      <c r="D34" s="130"/>
      <c r="E34" s="12"/>
      <c r="F34" s="312"/>
      <c r="H34" s="461"/>
      <c r="I34" s="444"/>
      <c r="J34" s="462"/>
      <c r="L34" s="312"/>
      <c r="M34" s="94"/>
    </row>
    <row r="35" spans="2:13" ht="63.75" customHeight="1" x14ac:dyDescent="0.2">
      <c r="B35" s="93"/>
      <c r="C35" s="174"/>
      <c r="D35" s="130"/>
      <c r="E35" s="12"/>
      <c r="F35" s="312"/>
      <c r="H35" s="461"/>
      <c r="I35" s="444"/>
      <c r="J35" s="462"/>
      <c r="L35" s="312"/>
      <c r="M35" s="94"/>
    </row>
    <row r="36" spans="2:13" ht="63.75" customHeight="1" x14ac:dyDescent="0.2">
      <c r="B36" s="93"/>
      <c r="C36" s="174"/>
      <c r="D36" s="130"/>
      <c r="E36" s="12"/>
      <c r="F36" s="312"/>
      <c r="H36" s="461"/>
      <c r="I36" s="444"/>
      <c r="J36" s="462"/>
      <c r="L36" s="312"/>
      <c r="M36" s="94"/>
    </row>
    <row r="37" spans="2:13" ht="63.75" customHeight="1" x14ac:dyDescent="0.2">
      <c r="B37" s="93"/>
      <c r="C37" s="174"/>
      <c r="D37" s="130"/>
      <c r="E37" s="12"/>
      <c r="F37" s="313"/>
      <c r="H37" s="454"/>
      <c r="I37" s="455"/>
      <c r="J37" s="456"/>
      <c r="L37" s="313"/>
      <c r="M37" s="94"/>
    </row>
    <row r="38" spans="2:13" ht="15.75" customHeight="1" x14ac:dyDescent="0.2">
      <c r="B38" s="93"/>
      <c r="C38" s="12"/>
      <c r="D38" s="95"/>
      <c r="H38" s="22"/>
      <c r="I38" s="22"/>
      <c r="J38" s="22"/>
      <c r="L38" s="97"/>
      <c r="M38" s="94"/>
    </row>
    <row r="39" spans="2:13" ht="14" x14ac:dyDescent="0.2">
      <c r="B39" s="93"/>
      <c r="M39" s="94"/>
    </row>
    <row r="40" spans="2:13" ht="101.25" customHeight="1" x14ac:dyDescent="0.2">
      <c r="B40" s="93"/>
      <c r="C40" s="172" t="s">
        <v>330</v>
      </c>
      <c r="D40" s="130" t="s">
        <v>374</v>
      </c>
      <c r="E40" s="12"/>
      <c r="F40" s="450" t="s">
        <v>323</v>
      </c>
      <c r="H40" s="451" t="s">
        <v>375</v>
      </c>
      <c r="I40" s="452"/>
      <c r="J40" s="453"/>
      <c r="L40" s="457" t="s">
        <v>325</v>
      </c>
      <c r="M40" s="94"/>
    </row>
    <row r="41" spans="2:13" ht="101.25" customHeight="1" x14ac:dyDescent="0.2">
      <c r="B41" s="93"/>
      <c r="C41" s="174"/>
      <c r="D41" s="130"/>
      <c r="E41" s="12"/>
      <c r="F41" s="313"/>
      <c r="H41" s="454"/>
      <c r="I41" s="455"/>
      <c r="J41" s="456"/>
      <c r="L41" s="313"/>
      <c r="M41" s="94"/>
    </row>
    <row r="42" spans="2:13" ht="15.75" customHeight="1" x14ac:dyDescent="0.2">
      <c r="B42" s="93"/>
      <c r="C42" s="12"/>
      <c r="D42" s="95"/>
      <c r="H42" s="22"/>
      <c r="I42" s="22"/>
      <c r="J42" s="22"/>
      <c r="L42" s="97"/>
      <c r="M42" s="94"/>
    </row>
    <row r="43" spans="2:13" ht="45" x14ac:dyDescent="0.2">
      <c r="B43" s="93"/>
      <c r="C43" s="172" t="s">
        <v>335</v>
      </c>
      <c r="D43" s="130" t="s">
        <v>336</v>
      </c>
      <c r="E43" s="12"/>
      <c r="F43" s="132" t="s">
        <v>337</v>
      </c>
      <c r="H43" s="436" t="s">
        <v>376</v>
      </c>
      <c r="I43" s="437"/>
      <c r="J43" s="438"/>
      <c r="L43" s="173" t="s">
        <v>377</v>
      </c>
      <c r="M43" s="94"/>
    </row>
    <row r="44" spans="2:13" ht="15.75" customHeight="1" x14ac:dyDescent="0.2">
      <c r="B44" s="93"/>
      <c r="C44" s="12"/>
      <c r="D44" s="95"/>
      <c r="H44" s="22"/>
      <c r="I44" s="22"/>
      <c r="J44" s="22"/>
      <c r="L44" s="97"/>
      <c r="M44" s="94"/>
    </row>
    <row r="45" spans="2:13" ht="120" x14ac:dyDescent="0.2">
      <c r="B45" s="93"/>
      <c r="C45" s="172" t="s">
        <v>340</v>
      </c>
      <c r="D45" s="130" t="s">
        <v>378</v>
      </c>
      <c r="E45" s="12"/>
      <c r="F45" s="132" t="s">
        <v>342</v>
      </c>
      <c r="H45" s="436"/>
      <c r="I45" s="437"/>
      <c r="J45" s="438"/>
      <c r="L45" s="173" t="s">
        <v>379</v>
      </c>
      <c r="M45" s="94"/>
    </row>
    <row r="46" spans="2:13" ht="15.75" customHeight="1" x14ac:dyDescent="0.2">
      <c r="B46" s="93"/>
      <c r="C46" s="12"/>
      <c r="D46" s="95"/>
      <c r="H46" s="22"/>
      <c r="I46" s="22"/>
      <c r="J46" s="22"/>
      <c r="L46" s="97"/>
      <c r="M46" s="94"/>
    </row>
    <row r="47" spans="2:13" ht="84" customHeight="1" x14ac:dyDescent="0.2">
      <c r="B47" s="93"/>
      <c r="C47" s="172" t="s">
        <v>345</v>
      </c>
      <c r="D47" s="130" t="s">
        <v>380</v>
      </c>
      <c r="E47" s="12"/>
      <c r="F47" s="450" t="s">
        <v>347</v>
      </c>
      <c r="H47" s="451" t="s">
        <v>381</v>
      </c>
      <c r="I47" s="452"/>
      <c r="J47" s="453"/>
      <c r="L47" s="457" t="s">
        <v>321</v>
      </c>
      <c r="M47" s="94"/>
    </row>
    <row r="48" spans="2:13" ht="84" customHeight="1" x14ac:dyDescent="0.2">
      <c r="B48" s="93"/>
      <c r="C48" s="174"/>
      <c r="D48" s="130"/>
      <c r="E48" s="12"/>
      <c r="F48" s="313"/>
      <c r="H48" s="454"/>
      <c r="I48" s="455"/>
      <c r="J48" s="456"/>
      <c r="L48" s="313"/>
      <c r="M48" s="94"/>
    </row>
    <row r="49" spans="1:14" ht="15.75" customHeight="1" x14ac:dyDescent="0.2">
      <c r="B49" s="93"/>
      <c r="C49" s="12"/>
      <c r="D49" s="95"/>
      <c r="H49" s="22"/>
      <c r="I49" s="22"/>
      <c r="J49" s="22"/>
      <c r="L49" s="97"/>
      <c r="M49" s="94"/>
    </row>
    <row r="50" spans="1:14" ht="98" x14ac:dyDescent="0.2">
      <c r="B50" s="93"/>
      <c r="C50" s="172" t="s">
        <v>350</v>
      </c>
      <c r="D50" s="130" t="s">
        <v>351</v>
      </c>
      <c r="E50" s="12"/>
      <c r="F50" s="132" t="s">
        <v>382</v>
      </c>
      <c r="H50" s="436" t="s">
        <v>383</v>
      </c>
      <c r="I50" s="437"/>
      <c r="J50" s="438"/>
      <c r="L50" s="173" t="s">
        <v>384</v>
      </c>
      <c r="M50" s="94"/>
    </row>
    <row r="51" spans="1:14" ht="22.5" customHeight="1" x14ac:dyDescent="0.2">
      <c r="B51" s="93"/>
      <c r="C51" s="12"/>
      <c r="H51" s="97"/>
      <c r="J51" s="22"/>
      <c r="K51" s="22"/>
      <c r="L51" s="22"/>
      <c r="M51" s="94"/>
    </row>
    <row r="52" spans="1:14" ht="14" customHeight="1" x14ac:dyDescent="0.2">
      <c r="B52" s="296" t="s">
        <v>385</v>
      </c>
      <c r="C52" s="288"/>
      <c r="D52" s="288"/>
      <c r="E52" s="288"/>
      <c r="F52" s="288"/>
      <c r="G52" s="288"/>
      <c r="H52" s="288"/>
      <c r="I52" s="288"/>
      <c r="J52" s="288"/>
      <c r="K52" s="288"/>
      <c r="L52" s="288"/>
      <c r="M52" s="297"/>
    </row>
    <row r="53" spans="1:14" ht="14" customHeight="1" x14ac:dyDescent="0.2">
      <c r="B53" s="296"/>
      <c r="C53" s="288"/>
      <c r="D53" s="288"/>
      <c r="E53" s="288"/>
      <c r="F53" s="288"/>
      <c r="G53" s="288"/>
      <c r="H53" s="288"/>
      <c r="I53" s="288"/>
      <c r="J53" s="288"/>
      <c r="K53" s="288"/>
      <c r="L53" s="288"/>
      <c r="M53" s="297"/>
    </row>
    <row r="54" spans="1:14" ht="14" x14ac:dyDescent="0.2">
      <c r="B54" s="296"/>
      <c r="C54" s="288"/>
      <c r="D54" s="288"/>
      <c r="E54" s="288"/>
      <c r="F54" s="288"/>
      <c r="G54" s="288"/>
      <c r="H54" s="288"/>
      <c r="I54" s="288"/>
      <c r="J54" s="288"/>
      <c r="K54" s="288"/>
      <c r="L54" s="288"/>
      <c r="M54" s="297"/>
    </row>
    <row r="55" spans="1:14" ht="8.25" customHeight="1" x14ac:dyDescent="0.2">
      <c r="B55" s="93"/>
      <c r="C55" s="12"/>
      <c r="H55" s="97"/>
      <c r="J55" s="22"/>
      <c r="K55" s="22"/>
      <c r="L55" s="22"/>
      <c r="M55" s="94"/>
    </row>
    <row r="56" spans="1:14" ht="16" thickBot="1" x14ac:dyDescent="0.25">
      <c r="A56" s="28"/>
      <c r="B56" s="128"/>
      <c r="C56" s="169"/>
      <c r="D56" s="439" t="s">
        <v>356</v>
      </c>
      <c r="E56" s="283"/>
      <c r="F56" s="283"/>
      <c r="G56" s="28"/>
      <c r="H56" s="129" t="s">
        <v>132</v>
      </c>
      <c r="I56" s="28"/>
      <c r="J56" s="129" t="s">
        <v>358</v>
      </c>
      <c r="K56" s="129"/>
      <c r="L56" s="129" t="s">
        <v>18</v>
      </c>
      <c r="M56" s="131"/>
      <c r="N56" s="28"/>
    </row>
    <row r="57" spans="1:14" ht="65.25" customHeight="1" x14ac:dyDescent="0.2">
      <c r="A57" s="97"/>
      <c r="B57" s="98"/>
      <c r="C57" s="15"/>
      <c r="D57" s="440"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441"/>
      <c r="F57" s="442"/>
      <c r="G57" s="459" t="s">
        <v>104</v>
      </c>
      <c r="H57" s="460" t="s">
        <v>386</v>
      </c>
      <c r="I57" s="369" t="s">
        <v>106</v>
      </c>
      <c r="J57" s="370"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336" t="s">
        <v>20</v>
      </c>
      <c r="L57" s="387" t="s">
        <v>387</v>
      </c>
      <c r="M57" s="100"/>
      <c r="N57" s="97"/>
    </row>
    <row r="58" spans="1:14" ht="65.25" customHeight="1" x14ac:dyDescent="0.2">
      <c r="A58" s="97"/>
      <c r="B58" s="98"/>
      <c r="C58" s="15"/>
      <c r="D58" s="443"/>
      <c r="E58" s="444"/>
      <c r="F58" s="445"/>
      <c r="G58" s="283"/>
      <c r="H58" s="372"/>
      <c r="I58" s="283"/>
      <c r="J58" s="371"/>
      <c r="K58" s="283"/>
      <c r="L58" s="312"/>
      <c r="M58" s="100"/>
      <c r="N58" s="97"/>
    </row>
    <row r="59" spans="1:14" ht="8.25" customHeight="1" x14ac:dyDescent="0.2">
      <c r="B59" s="93"/>
      <c r="C59" s="12"/>
      <c r="D59" s="443"/>
      <c r="E59" s="444"/>
      <c r="F59" s="445"/>
      <c r="I59" s="283"/>
      <c r="J59" s="371"/>
      <c r="K59" s="283"/>
      <c r="L59" s="312"/>
      <c r="M59" s="94"/>
    </row>
    <row r="60" spans="1:14" ht="15.75" customHeight="1" x14ac:dyDescent="0.2">
      <c r="B60" s="93"/>
      <c r="C60" s="12"/>
      <c r="D60" s="443"/>
      <c r="E60" s="444"/>
      <c r="F60" s="445"/>
      <c r="H60" s="129" t="s">
        <v>388</v>
      </c>
      <c r="I60" s="283"/>
      <c r="J60" s="371"/>
      <c r="K60" s="283"/>
      <c r="L60" s="312"/>
      <c r="M60" s="94"/>
    </row>
    <row r="61" spans="1:14" ht="82.5" customHeight="1" x14ac:dyDescent="0.2">
      <c r="B61" s="93"/>
      <c r="C61" s="12"/>
      <c r="D61" s="443"/>
      <c r="E61" s="444"/>
      <c r="F61" s="445"/>
      <c r="G61" s="459" t="s">
        <v>104</v>
      </c>
      <c r="H61" s="460" t="s">
        <v>389</v>
      </c>
      <c r="I61" s="283"/>
      <c r="J61" s="371"/>
      <c r="K61" s="283"/>
      <c r="L61" s="312"/>
      <c r="M61" s="94"/>
    </row>
    <row r="62" spans="1:14" ht="82.5" customHeight="1" x14ac:dyDescent="0.2">
      <c r="B62" s="93"/>
      <c r="C62" s="12"/>
      <c r="D62" s="443"/>
      <c r="E62" s="444"/>
      <c r="F62" s="445"/>
      <c r="G62" s="283"/>
      <c r="H62" s="371"/>
      <c r="I62" s="283"/>
      <c r="J62" s="371"/>
      <c r="K62" s="283"/>
      <c r="L62" s="312"/>
      <c r="M62" s="94"/>
    </row>
    <row r="63" spans="1:14" ht="82.5" customHeight="1" x14ac:dyDescent="0.2">
      <c r="B63" s="93"/>
      <c r="C63" s="12"/>
      <c r="D63" s="443"/>
      <c r="E63" s="444"/>
      <c r="F63" s="445"/>
      <c r="G63" s="283"/>
      <c r="H63" s="371"/>
      <c r="I63" s="283"/>
      <c r="J63" s="371"/>
      <c r="K63" s="283"/>
      <c r="L63" s="312"/>
      <c r="M63" s="94"/>
    </row>
    <row r="64" spans="1:14" ht="82.5" customHeight="1" x14ac:dyDescent="0.2">
      <c r="B64" s="93"/>
      <c r="C64" s="12"/>
      <c r="D64" s="443"/>
      <c r="E64" s="444"/>
      <c r="F64" s="445"/>
      <c r="G64" s="283"/>
      <c r="H64" s="371"/>
      <c r="I64" s="283"/>
      <c r="J64" s="371"/>
      <c r="K64" s="283"/>
      <c r="L64" s="312"/>
      <c r="M64" s="94"/>
    </row>
    <row r="65" spans="2:13" ht="82.5" customHeight="1" x14ac:dyDescent="0.2">
      <c r="B65" s="93"/>
      <c r="C65" s="12"/>
      <c r="D65" s="443"/>
      <c r="E65" s="444"/>
      <c r="F65" s="445"/>
      <c r="G65" s="283"/>
      <c r="H65" s="371"/>
      <c r="I65" s="283"/>
      <c r="J65" s="371"/>
      <c r="K65" s="283"/>
      <c r="L65" s="312"/>
      <c r="M65" s="94"/>
    </row>
    <row r="66" spans="2:13" ht="82.5" customHeight="1" x14ac:dyDescent="0.2">
      <c r="B66" s="93"/>
      <c r="C66" s="12"/>
      <c r="D66" s="443"/>
      <c r="E66" s="444"/>
      <c r="F66" s="445"/>
      <c r="G66" s="283"/>
      <c r="H66" s="371"/>
      <c r="I66" s="283"/>
      <c r="J66" s="371"/>
      <c r="K66" s="283"/>
      <c r="L66" s="312"/>
      <c r="M66" s="94"/>
    </row>
    <row r="67" spans="2:13" ht="82.5" customHeight="1" x14ac:dyDescent="0.2">
      <c r="B67" s="93"/>
      <c r="C67" s="12"/>
      <c r="D67" s="443"/>
      <c r="E67" s="444"/>
      <c r="F67" s="445"/>
      <c r="G67" s="283"/>
      <c r="H67" s="371"/>
      <c r="I67" s="283"/>
      <c r="J67" s="371"/>
      <c r="K67" s="283"/>
      <c r="L67" s="312"/>
      <c r="M67" s="94"/>
    </row>
    <row r="68" spans="2:13" ht="82.5" customHeight="1" x14ac:dyDescent="0.2">
      <c r="B68" s="93"/>
      <c r="C68" s="12"/>
      <c r="D68" s="443"/>
      <c r="E68" s="444"/>
      <c r="F68" s="445"/>
      <c r="G68" s="283"/>
      <c r="H68" s="371"/>
      <c r="I68" s="283"/>
      <c r="J68" s="371"/>
      <c r="K68" s="283"/>
      <c r="L68" s="312"/>
      <c r="M68" s="94"/>
    </row>
    <row r="69" spans="2:13" ht="82.5" customHeight="1" x14ac:dyDescent="0.2">
      <c r="B69" s="93"/>
      <c r="C69" s="12"/>
      <c r="D69" s="443"/>
      <c r="E69" s="444"/>
      <c r="F69" s="445"/>
      <c r="G69" s="283"/>
      <c r="H69" s="371"/>
      <c r="I69" s="283"/>
      <c r="J69" s="371"/>
      <c r="K69" s="283"/>
      <c r="L69" s="312"/>
      <c r="M69" s="94"/>
    </row>
    <row r="70" spans="2:13" ht="82.5" customHeight="1" x14ac:dyDescent="0.2">
      <c r="B70" s="93"/>
      <c r="C70" s="12"/>
      <c r="D70" s="443"/>
      <c r="E70" s="444"/>
      <c r="F70" s="445"/>
      <c r="G70" s="283"/>
      <c r="H70" s="371"/>
      <c r="I70" s="283"/>
      <c r="J70" s="371"/>
      <c r="K70" s="283"/>
      <c r="L70" s="312"/>
      <c r="M70" s="94"/>
    </row>
    <row r="71" spans="2:13" ht="82.5" customHeight="1" x14ac:dyDescent="0.2">
      <c r="B71" s="93"/>
      <c r="C71" s="12"/>
      <c r="D71" s="443"/>
      <c r="E71" s="444"/>
      <c r="F71" s="445"/>
      <c r="G71" s="283"/>
      <c r="H71" s="371"/>
      <c r="I71" s="283"/>
      <c r="J71" s="371"/>
      <c r="K71" s="283"/>
      <c r="L71" s="312"/>
      <c r="M71" s="94"/>
    </row>
    <row r="72" spans="2:13" ht="82.5" customHeight="1" x14ac:dyDescent="0.2">
      <c r="B72" s="93"/>
      <c r="C72" s="12"/>
      <c r="D72" s="443"/>
      <c r="E72" s="444"/>
      <c r="F72" s="445"/>
      <c r="G72" s="283"/>
      <c r="H72" s="371"/>
      <c r="I72" s="283"/>
      <c r="J72" s="371"/>
      <c r="K72" s="283"/>
      <c r="L72" s="312"/>
      <c r="M72" s="94"/>
    </row>
    <row r="73" spans="2:13" ht="82.5" customHeight="1" x14ac:dyDescent="0.2">
      <c r="B73" s="93"/>
      <c r="C73" s="12"/>
      <c r="D73" s="443"/>
      <c r="E73" s="444"/>
      <c r="F73" s="445"/>
      <c r="G73" s="283"/>
      <c r="H73" s="371"/>
      <c r="I73" s="283"/>
      <c r="J73" s="371"/>
      <c r="K73" s="283"/>
      <c r="L73" s="312"/>
      <c r="M73" s="94"/>
    </row>
    <row r="74" spans="2:13" ht="82.5" customHeight="1" thickBot="1" x14ac:dyDescent="0.25">
      <c r="B74" s="93"/>
      <c r="C74" s="12"/>
      <c r="D74" s="446"/>
      <c r="E74" s="458"/>
      <c r="F74" s="448"/>
      <c r="G74" s="283"/>
      <c r="H74" s="372"/>
      <c r="I74" s="283"/>
      <c r="J74" s="372"/>
      <c r="K74" s="283"/>
      <c r="L74" s="313"/>
      <c r="M74" s="94"/>
    </row>
    <row r="75" spans="2:13" ht="15.75" customHeight="1" thickBot="1" x14ac:dyDescent="0.25">
      <c r="B75" s="103"/>
      <c r="C75" s="39"/>
      <c r="D75" s="40"/>
      <c r="E75" s="40"/>
      <c r="F75" s="40"/>
      <c r="G75" s="40"/>
      <c r="H75" s="118"/>
      <c r="I75" s="40"/>
      <c r="J75" s="40"/>
      <c r="K75" s="40"/>
      <c r="L75" s="40"/>
      <c r="M75" s="104"/>
    </row>
    <row r="76" spans="2:13" ht="14" x14ac:dyDescent="0.2">
      <c r="C76" s="12"/>
      <c r="H76" s="97"/>
      <c r="J76" s="22"/>
      <c r="K76" s="22"/>
      <c r="L76" s="22"/>
    </row>
    <row r="77" spans="2:13" ht="16" x14ac:dyDescent="0.2">
      <c r="B77" s="281" t="s">
        <v>390</v>
      </c>
      <c r="C77" s="281"/>
      <c r="D77" s="281"/>
      <c r="E77" s="281"/>
      <c r="F77" s="281"/>
      <c r="I77" s="299" t="s">
        <v>391</v>
      </c>
      <c r="J77" s="281"/>
      <c r="K77" s="281"/>
      <c r="L77" s="281"/>
      <c r="M77" s="281"/>
    </row>
    <row r="78" spans="2:13" ht="8.25" customHeight="1" x14ac:dyDescent="0.2"/>
    <row r="79" spans="2:13" ht="16" x14ac:dyDescent="0.2">
      <c r="B79" s="280" t="s">
        <v>37</v>
      </c>
      <c r="C79" s="281"/>
      <c r="D79" s="281"/>
      <c r="E79" s="281"/>
      <c r="F79" s="281"/>
      <c r="G79" s="281"/>
      <c r="H79" s="281"/>
      <c r="I79" s="281"/>
      <c r="J79" s="281"/>
      <c r="K79" s="281"/>
      <c r="L79" s="281"/>
      <c r="M79" s="281"/>
    </row>
    <row r="80" spans="2:13" ht="14" x14ac:dyDescent="0.2">
      <c r="C80" s="12"/>
      <c r="H80" s="97"/>
      <c r="J80" s="22"/>
      <c r="K80" s="22"/>
      <c r="L80" s="22"/>
    </row>
    <row r="81" spans="3:12" ht="14" x14ac:dyDescent="0.2">
      <c r="C81" s="12"/>
      <c r="H81" s="97"/>
      <c r="J81" s="22"/>
      <c r="K81" s="22"/>
      <c r="L81" s="22"/>
    </row>
    <row r="82" spans="3:12" ht="14" x14ac:dyDescent="0.2">
      <c r="C82" s="12"/>
      <c r="H82" s="97"/>
      <c r="J82" s="22"/>
      <c r="K82" s="22"/>
      <c r="L82" s="22"/>
    </row>
    <row r="83" spans="3:12" ht="14" x14ac:dyDescent="0.2">
      <c r="C83" s="12"/>
      <c r="H83" s="97"/>
      <c r="J83" s="22"/>
      <c r="K83" s="22"/>
      <c r="L83" s="22"/>
    </row>
  </sheetData>
  <sheetProtection algorithmName="SHA-512" hashValue="hZPC02MM5mYrmQpu/wB99IZvR8d0usgy/yRU0oxWyZUL/4+hOuxHV/e4D9Qs+UdHxFiTuI1NLHh5tY7E8IWQ2Q==" saltValue="gL1eTrPOdrhN5AwBgwOF3g==" spinCount="100000" sheet="1" objects="1" scenarios="1"/>
  <mergeCells count="37">
    <mergeCell ref="B52:M54"/>
    <mergeCell ref="H23:J23"/>
    <mergeCell ref="H21:J21"/>
    <mergeCell ref="H50:J50"/>
    <mergeCell ref="H25:J25"/>
    <mergeCell ref="F27:F37"/>
    <mergeCell ref="H27:J37"/>
    <mergeCell ref="L27:L37"/>
    <mergeCell ref="F40:F41"/>
    <mergeCell ref="H40:J41"/>
    <mergeCell ref="L40:L41"/>
    <mergeCell ref="H43:J43"/>
    <mergeCell ref="H45:J45"/>
    <mergeCell ref="B1:J1"/>
    <mergeCell ref="B3:F3"/>
    <mergeCell ref="B12:F12"/>
    <mergeCell ref="L12:M12"/>
    <mergeCell ref="H19:J19"/>
    <mergeCell ref="L3:M3"/>
    <mergeCell ref="B4:M10"/>
    <mergeCell ref="B13:M15"/>
    <mergeCell ref="B77:F77"/>
    <mergeCell ref="I77:M77"/>
    <mergeCell ref="B79:M79"/>
    <mergeCell ref="F47:F48"/>
    <mergeCell ref="H47:J48"/>
    <mergeCell ref="L47:L48"/>
    <mergeCell ref="D56:F56"/>
    <mergeCell ref="D57:F74"/>
    <mergeCell ref="G57:G58"/>
    <mergeCell ref="H57:H58"/>
    <mergeCell ref="I57:I74"/>
    <mergeCell ref="J57:J74"/>
    <mergeCell ref="K57:K74"/>
    <mergeCell ref="L57:L74"/>
    <mergeCell ref="G61:G74"/>
    <mergeCell ref="H61:H74"/>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42.1640625" style="89" customWidth="1"/>
    <col min="7" max="7" width="4" style="89" customWidth="1"/>
    <col min="8" max="8" width="26.33203125" style="89" customWidth="1"/>
    <col min="9" max="9" width="4" style="89" customWidth="1"/>
    <col min="10" max="10" width="38.332031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52" t="s">
        <v>392</v>
      </c>
      <c r="C1" s="283"/>
      <c r="D1" s="283"/>
      <c r="E1" s="283"/>
      <c r="F1" s="283"/>
      <c r="G1" s="283"/>
      <c r="H1" s="283"/>
      <c r="I1" s="283"/>
      <c r="J1" s="283"/>
      <c r="K1" s="22"/>
      <c r="L1" s="22"/>
      <c r="M1" s="22"/>
      <c r="N1" s="22"/>
    </row>
    <row r="2" spans="1:14" ht="21.75" customHeight="1" thickBot="1" x14ac:dyDescent="0.25">
      <c r="C2" s="12"/>
      <c r="H2" s="97"/>
      <c r="J2" s="22"/>
      <c r="K2" s="22"/>
      <c r="L2" s="22"/>
    </row>
    <row r="3" spans="1:14" ht="29.25" customHeight="1" x14ac:dyDescent="0.2">
      <c r="A3" s="22"/>
      <c r="B3" s="300" t="s">
        <v>12</v>
      </c>
      <c r="C3" s="301"/>
      <c r="D3" s="301"/>
      <c r="E3" s="301"/>
      <c r="F3" s="301"/>
      <c r="G3" s="24"/>
      <c r="H3" s="127"/>
      <c r="I3" s="24"/>
      <c r="J3" s="168"/>
      <c r="K3" s="168"/>
      <c r="L3" s="302"/>
      <c r="M3" s="303"/>
      <c r="N3" s="22"/>
    </row>
    <row r="4" spans="1:14" ht="15" customHeight="1" x14ac:dyDescent="0.2">
      <c r="B4" s="296" t="s">
        <v>393</v>
      </c>
      <c r="C4" s="288"/>
      <c r="D4" s="288"/>
      <c r="E4" s="288"/>
      <c r="F4" s="288"/>
      <c r="G4" s="288"/>
      <c r="H4" s="288"/>
      <c r="I4" s="288"/>
      <c r="J4" s="288"/>
      <c r="K4" s="288"/>
      <c r="L4" s="288"/>
      <c r="M4" s="297"/>
    </row>
    <row r="5" spans="1:14" ht="15" customHeight="1" x14ac:dyDescent="0.2">
      <c r="B5" s="296"/>
      <c r="C5" s="288"/>
      <c r="D5" s="288"/>
      <c r="E5" s="288"/>
      <c r="F5" s="288"/>
      <c r="G5" s="288"/>
      <c r="H5" s="288"/>
      <c r="I5" s="288"/>
      <c r="J5" s="288"/>
      <c r="K5" s="288"/>
      <c r="L5" s="288"/>
      <c r="M5" s="297"/>
    </row>
    <row r="6" spans="1:14" ht="15" customHeight="1" thickBot="1" x14ac:dyDescent="0.25">
      <c r="B6" s="348"/>
      <c r="C6" s="349"/>
      <c r="D6" s="349"/>
      <c r="E6" s="349"/>
      <c r="F6" s="349"/>
      <c r="G6" s="349"/>
      <c r="H6" s="349"/>
      <c r="I6" s="349"/>
      <c r="J6" s="349"/>
      <c r="K6" s="349"/>
      <c r="L6" s="349"/>
      <c r="M6" s="350"/>
    </row>
    <row r="7" spans="1:14" ht="33.75" customHeight="1" thickBot="1" x14ac:dyDescent="0.25">
      <c r="C7" s="12"/>
      <c r="H7" s="97"/>
      <c r="J7" s="22"/>
      <c r="K7" s="22"/>
      <c r="L7" s="22"/>
    </row>
    <row r="8" spans="1:14" ht="29.25" customHeight="1" x14ac:dyDescent="0.2">
      <c r="B8" s="300" t="s">
        <v>304</v>
      </c>
      <c r="C8" s="301"/>
      <c r="D8" s="301"/>
      <c r="E8" s="301"/>
      <c r="F8" s="301"/>
      <c r="G8" s="24"/>
      <c r="H8" s="127"/>
      <c r="I8" s="24"/>
      <c r="J8" s="168"/>
      <c r="K8" s="168"/>
      <c r="L8" s="302"/>
      <c r="M8" s="303"/>
    </row>
    <row r="9" spans="1:14" ht="14" customHeight="1" x14ac:dyDescent="0.2">
      <c r="B9" s="296" t="s">
        <v>584</v>
      </c>
      <c r="C9" s="288"/>
      <c r="D9" s="288"/>
      <c r="E9" s="288"/>
      <c r="F9" s="288"/>
      <c r="G9" s="288"/>
      <c r="H9" s="288"/>
      <c r="I9" s="288"/>
      <c r="J9" s="288"/>
      <c r="K9" s="288"/>
      <c r="L9" s="288"/>
      <c r="M9" s="297"/>
    </row>
    <row r="10" spans="1:14" ht="14" x14ac:dyDescent="0.2">
      <c r="B10" s="296"/>
      <c r="C10" s="288"/>
      <c r="D10" s="288"/>
      <c r="E10" s="288"/>
      <c r="F10" s="288"/>
      <c r="G10" s="288"/>
      <c r="H10" s="288"/>
      <c r="I10" s="288"/>
      <c r="J10" s="288"/>
      <c r="K10" s="288"/>
      <c r="L10" s="288"/>
      <c r="M10" s="297"/>
    </row>
    <row r="11" spans="1:14" ht="14" x14ac:dyDescent="0.2">
      <c r="B11" s="296"/>
      <c r="C11" s="288"/>
      <c r="D11" s="288"/>
      <c r="E11" s="288"/>
      <c r="F11" s="288"/>
      <c r="G11" s="288"/>
      <c r="H11" s="288"/>
      <c r="I11" s="288"/>
      <c r="J11" s="288"/>
      <c r="K11" s="288"/>
      <c r="L11" s="288"/>
      <c r="M11" s="297"/>
    </row>
    <row r="12" spans="1:14" ht="14" x14ac:dyDescent="0.2">
      <c r="B12" s="296"/>
      <c r="C12" s="288"/>
      <c r="D12" s="288"/>
      <c r="E12" s="288"/>
      <c r="F12" s="288"/>
      <c r="G12" s="288"/>
      <c r="H12" s="288"/>
      <c r="I12" s="288"/>
      <c r="J12" s="288"/>
      <c r="K12" s="288"/>
      <c r="L12" s="288"/>
      <c r="M12" s="297"/>
    </row>
    <row r="13" spans="1:14" ht="14" x14ac:dyDescent="0.2">
      <c r="B13" s="296"/>
      <c r="C13" s="288"/>
      <c r="D13" s="288"/>
      <c r="E13" s="288"/>
      <c r="F13" s="288"/>
      <c r="G13" s="288"/>
      <c r="H13" s="288"/>
      <c r="I13" s="288"/>
      <c r="J13" s="288"/>
      <c r="K13" s="288"/>
      <c r="L13" s="288"/>
      <c r="M13" s="297"/>
    </row>
    <row r="14" spans="1:14" ht="8.25" customHeight="1" x14ac:dyDescent="0.2">
      <c r="B14" s="93"/>
      <c r="C14" s="12"/>
      <c r="H14" s="97"/>
      <c r="J14" s="22"/>
      <c r="K14" s="22"/>
      <c r="L14" s="22"/>
      <c r="M14" s="94"/>
    </row>
    <row r="15" spans="1:14" ht="15.75" customHeight="1" x14ac:dyDescent="0.2">
      <c r="A15" s="28"/>
      <c r="B15" s="128"/>
      <c r="C15" s="169"/>
      <c r="D15" s="129" t="s">
        <v>307</v>
      </c>
      <c r="E15" s="28"/>
      <c r="F15" s="129" t="s">
        <v>308</v>
      </c>
      <c r="G15" s="28"/>
      <c r="H15" s="129" t="s">
        <v>304</v>
      </c>
      <c r="I15" s="129"/>
      <c r="J15" s="129"/>
      <c r="L15" s="130" t="s">
        <v>366</v>
      </c>
      <c r="M15" s="131"/>
    </row>
    <row r="16" spans="1:14" ht="3.75" customHeight="1" x14ac:dyDescent="0.2">
      <c r="B16" s="93"/>
      <c r="C16" s="170"/>
      <c r="D16" s="129"/>
      <c r="F16" s="129"/>
      <c r="H16" s="22"/>
      <c r="I16" s="22"/>
      <c r="J16" s="22"/>
      <c r="L16" s="171"/>
      <c r="M16" s="94"/>
    </row>
    <row r="17" spans="1:13" ht="42" x14ac:dyDescent="0.2">
      <c r="B17" s="93"/>
      <c r="C17" s="172" t="s">
        <v>176</v>
      </c>
      <c r="D17" s="130" t="s">
        <v>310</v>
      </c>
      <c r="E17" s="12"/>
      <c r="F17" s="132" t="s">
        <v>311</v>
      </c>
      <c r="H17" s="436" t="s">
        <v>312</v>
      </c>
      <c r="I17" s="437"/>
      <c r="J17" s="438"/>
      <c r="L17" s="173" t="s">
        <v>313</v>
      </c>
      <c r="M17" s="94"/>
    </row>
    <row r="18" spans="1:13" ht="15.75" customHeight="1" x14ac:dyDescent="0.2">
      <c r="B18" s="93"/>
      <c r="C18" s="174"/>
      <c r="D18" s="37"/>
      <c r="E18" s="12"/>
      <c r="F18" s="97"/>
      <c r="H18" s="97"/>
      <c r="I18" s="97"/>
      <c r="J18" s="97"/>
      <c r="L18" s="97"/>
      <c r="M18" s="94"/>
    </row>
    <row r="19" spans="1:13" ht="45" x14ac:dyDescent="0.2">
      <c r="B19" s="93"/>
      <c r="C19" s="172" t="s">
        <v>178</v>
      </c>
      <c r="D19" s="130" t="s">
        <v>314</v>
      </c>
      <c r="E19" s="12"/>
      <c r="F19" s="132" t="s">
        <v>315</v>
      </c>
      <c r="H19" s="436" t="s">
        <v>394</v>
      </c>
      <c r="I19" s="437"/>
      <c r="J19" s="438"/>
      <c r="L19" s="173" t="s">
        <v>317</v>
      </c>
      <c r="M19" s="94"/>
    </row>
    <row r="20" spans="1:13" ht="15.75" customHeight="1" x14ac:dyDescent="0.2">
      <c r="A20" s="175"/>
      <c r="B20" s="93"/>
      <c r="M20" s="94"/>
    </row>
    <row r="21" spans="1:13" ht="30" x14ac:dyDescent="0.2">
      <c r="A21" s="175"/>
      <c r="B21" s="176"/>
      <c r="C21" s="177" t="s">
        <v>180</v>
      </c>
      <c r="D21" s="178" t="s">
        <v>395</v>
      </c>
      <c r="E21" s="179"/>
      <c r="F21" s="180" t="s">
        <v>319</v>
      </c>
      <c r="G21" s="179"/>
      <c r="H21" s="449" t="s">
        <v>396</v>
      </c>
      <c r="I21" s="437"/>
      <c r="J21" s="438"/>
      <c r="L21" s="181" t="s">
        <v>321</v>
      </c>
      <c r="M21" s="175"/>
    </row>
    <row r="22" spans="1:13" ht="14" x14ac:dyDescent="0.2">
      <c r="B22" s="93"/>
      <c r="M22" s="94"/>
    </row>
    <row r="23" spans="1:13" ht="60" x14ac:dyDescent="0.2">
      <c r="B23" s="93"/>
      <c r="C23" s="172" t="s">
        <v>228</v>
      </c>
      <c r="D23" s="130" t="s">
        <v>331</v>
      </c>
      <c r="E23" s="12"/>
      <c r="F23" s="132" t="s">
        <v>332</v>
      </c>
      <c r="H23" s="436" t="s">
        <v>397</v>
      </c>
      <c r="I23" s="437"/>
      <c r="J23" s="438"/>
      <c r="L23" s="173" t="s">
        <v>370</v>
      </c>
      <c r="M23" s="94"/>
    </row>
    <row r="24" spans="1:13" ht="15.75" customHeight="1" x14ac:dyDescent="0.2">
      <c r="B24" s="93"/>
      <c r="C24" s="12"/>
      <c r="H24" s="22"/>
      <c r="I24" s="22"/>
      <c r="J24" s="22"/>
      <c r="L24" s="97"/>
      <c r="M24" s="94"/>
    </row>
    <row r="25" spans="1:13" ht="165" x14ac:dyDescent="0.2">
      <c r="B25" s="93"/>
      <c r="C25" s="172" t="s">
        <v>326</v>
      </c>
      <c r="D25" s="130" t="s">
        <v>13</v>
      </c>
      <c r="E25" s="12"/>
      <c r="F25" s="132" t="s">
        <v>327</v>
      </c>
      <c r="H25" s="436"/>
      <c r="I25" s="437"/>
      <c r="J25" s="438"/>
      <c r="L25" s="173" t="s">
        <v>373</v>
      </c>
      <c r="M25" s="94"/>
    </row>
    <row r="26" spans="1:13" ht="15.75" customHeight="1" x14ac:dyDescent="0.2">
      <c r="B26" s="93"/>
      <c r="C26" s="12"/>
      <c r="D26" s="95"/>
      <c r="H26" s="22"/>
      <c r="I26" s="22"/>
      <c r="J26" s="22"/>
      <c r="L26" s="97"/>
      <c r="M26" s="94"/>
    </row>
    <row r="27" spans="1:13" ht="60" x14ac:dyDescent="0.2">
      <c r="B27" s="93"/>
      <c r="C27" s="172" t="s">
        <v>330</v>
      </c>
      <c r="D27" s="130" t="s">
        <v>374</v>
      </c>
      <c r="E27" s="12"/>
      <c r="F27" s="132" t="s">
        <v>323</v>
      </c>
      <c r="H27" s="436" t="s">
        <v>398</v>
      </c>
      <c r="I27" s="437"/>
      <c r="J27" s="438"/>
      <c r="L27" s="173" t="s">
        <v>325</v>
      </c>
      <c r="M27" s="94"/>
    </row>
    <row r="28" spans="1:13" ht="15.75" customHeight="1" x14ac:dyDescent="0.2">
      <c r="B28" s="93"/>
      <c r="C28" s="12"/>
      <c r="D28" s="95"/>
      <c r="H28" s="22"/>
      <c r="I28" s="22"/>
      <c r="J28" s="22"/>
      <c r="L28" s="97"/>
      <c r="M28" s="94"/>
    </row>
    <row r="29" spans="1:13" ht="32" x14ac:dyDescent="0.2">
      <c r="B29" s="93"/>
      <c r="C29" s="172" t="s">
        <v>335</v>
      </c>
      <c r="D29" s="130" t="s">
        <v>336</v>
      </c>
      <c r="E29" s="12"/>
      <c r="F29" s="132" t="s">
        <v>337</v>
      </c>
      <c r="H29" s="436"/>
      <c r="I29" s="437"/>
      <c r="J29" s="438"/>
      <c r="L29" s="173" t="s">
        <v>377</v>
      </c>
      <c r="M29" s="94"/>
    </row>
    <row r="30" spans="1:13" ht="15.75" customHeight="1" x14ac:dyDescent="0.2">
      <c r="B30" s="93"/>
      <c r="C30" s="12"/>
      <c r="D30" s="95"/>
      <c r="H30" s="22"/>
      <c r="I30" s="22"/>
      <c r="J30" s="22"/>
      <c r="L30" s="97"/>
      <c r="M30" s="94"/>
    </row>
    <row r="31" spans="1:13" ht="60" x14ac:dyDescent="0.2">
      <c r="B31" s="93"/>
      <c r="C31" s="172" t="s">
        <v>340</v>
      </c>
      <c r="D31" s="130" t="s">
        <v>378</v>
      </c>
      <c r="E31" s="12"/>
      <c r="F31" s="132" t="s">
        <v>342</v>
      </c>
      <c r="H31" s="436" t="s">
        <v>399</v>
      </c>
      <c r="I31" s="437"/>
      <c r="J31" s="438"/>
      <c r="L31" s="173" t="s">
        <v>400</v>
      </c>
      <c r="M31" s="94"/>
    </row>
    <row r="32" spans="1:13" ht="15.75" customHeight="1" x14ac:dyDescent="0.2">
      <c r="B32" s="93"/>
      <c r="C32" s="12"/>
      <c r="D32" s="95"/>
      <c r="H32" s="22"/>
      <c r="I32" s="22"/>
      <c r="J32" s="22"/>
      <c r="L32" s="97"/>
      <c r="M32" s="94"/>
    </row>
    <row r="33" spans="1:14" ht="32" x14ac:dyDescent="0.2">
      <c r="B33" s="93"/>
      <c r="C33" s="172" t="s">
        <v>345</v>
      </c>
      <c r="D33" s="130" t="s">
        <v>380</v>
      </c>
      <c r="E33" s="12"/>
      <c r="F33" s="132" t="s">
        <v>347</v>
      </c>
      <c r="H33" s="436" t="s">
        <v>401</v>
      </c>
      <c r="I33" s="437"/>
      <c r="J33" s="438"/>
      <c r="L33" s="173" t="s">
        <v>321</v>
      </c>
      <c r="M33" s="94"/>
    </row>
    <row r="34" spans="1:14" ht="15.75" customHeight="1" x14ac:dyDescent="0.2">
      <c r="B34" s="93"/>
      <c r="C34" s="12"/>
      <c r="D34" s="95"/>
      <c r="I34" s="22"/>
      <c r="J34" s="22"/>
      <c r="L34" s="97"/>
      <c r="M34" s="94"/>
    </row>
    <row r="35" spans="1:14" ht="98" x14ac:dyDescent="0.2">
      <c r="B35" s="93"/>
      <c r="C35" s="172" t="s">
        <v>350</v>
      </c>
      <c r="D35" s="130" t="s">
        <v>351</v>
      </c>
      <c r="E35" s="12"/>
      <c r="F35" s="132" t="s">
        <v>382</v>
      </c>
      <c r="H35" s="436" t="s">
        <v>402</v>
      </c>
      <c r="I35" s="437"/>
      <c r="J35" s="438"/>
      <c r="L35" s="173" t="s">
        <v>403</v>
      </c>
      <c r="M35" s="94"/>
    </row>
    <row r="36" spans="1:14" ht="22.5" customHeight="1" x14ac:dyDescent="0.2">
      <c r="B36" s="93"/>
      <c r="C36" s="12"/>
      <c r="H36" s="97"/>
      <c r="J36" s="22"/>
      <c r="K36" s="22"/>
      <c r="L36" s="22"/>
      <c r="M36" s="94"/>
    </row>
    <row r="37" spans="1:14" ht="14" customHeight="1" x14ac:dyDescent="0.2">
      <c r="B37" s="296" t="s">
        <v>385</v>
      </c>
      <c r="C37" s="288"/>
      <c r="D37" s="288"/>
      <c r="E37" s="288"/>
      <c r="F37" s="288"/>
      <c r="G37" s="288"/>
      <c r="H37" s="288"/>
      <c r="I37" s="288"/>
      <c r="J37" s="288"/>
      <c r="K37" s="288"/>
      <c r="L37" s="288"/>
      <c r="M37" s="297"/>
    </row>
    <row r="38" spans="1:14" ht="14" x14ac:dyDescent="0.2">
      <c r="B38" s="296"/>
      <c r="C38" s="288"/>
      <c r="D38" s="288"/>
      <c r="E38" s="288"/>
      <c r="F38" s="288"/>
      <c r="G38" s="288"/>
      <c r="H38" s="288"/>
      <c r="I38" s="288"/>
      <c r="J38" s="288"/>
      <c r="K38" s="288"/>
      <c r="L38" s="288"/>
      <c r="M38" s="297"/>
    </row>
    <row r="39" spans="1:14" ht="14" x14ac:dyDescent="0.2">
      <c r="B39" s="296"/>
      <c r="C39" s="288"/>
      <c r="D39" s="288"/>
      <c r="E39" s="288"/>
      <c r="F39" s="288"/>
      <c r="G39" s="288"/>
      <c r="H39" s="288"/>
      <c r="I39" s="288"/>
      <c r="J39" s="288"/>
      <c r="K39" s="288"/>
      <c r="L39" s="288"/>
      <c r="M39" s="297"/>
    </row>
    <row r="40" spans="1:14" ht="8.25" customHeight="1" x14ac:dyDescent="0.2">
      <c r="B40" s="93"/>
      <c r="C40" s="12"/>
      <c r="H40" s="97"/>
      <c r="J40" s="22"/>
      <c r="K40" s="22"/>
      <c r="L40" s="22"/>
      <c r="M40" s="94"/>
    </row>
    <row r="41" spans="1:14" ht="46.5" customHeight="1" thickBot="1" x14ac:dyDescent="0.25">
      <c r="A41" s="28"/>
      <c r="B41" s="128"/>
      <c r="C41" s="169"/>
      <c r="D41" s="439" t="s">
        <v>356</v>
      </c>
      <c r="E41" s="283"/>
      <c r="F41" s="283"/>
      <c r="G41" s="28"/>
      <c r="H41" s="129" t="s">
        <v>132</v>
      </c>
      <c r="I41" s="28"/>
      <c r="J41" s="129" t="s">
        <v>358</v>
      </c>
      <c r="K41" s="129"/>
      <c r="L41" s="129" t="s">
        <v>18</v>
      </c>
      <c r="M41" s="131"/>
      <c r="N41" s="28"/>
    </row>
    <row r="42" spans="1:14" ht="65.25" customHeight="1" x14ac:dyDescent="0.2">
      <c r="A42" s="97"/>
      <c r="B42" s="98"/>
      <c r="C42" s="15"/>
      <c r="D42" s="440"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441"/>
      <c r="F42" s="442"/>
      <c r="G42" s="459" t="s">
        <v>104</v>
      </c>
      <c r="H42" s="460" t="s">
        <v>404</v>
      </c>
      <c r="I42" s="369" t="s">
        <v>106</v>
      </c>
      <c r="J42" s="370"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336" t="s">
        <v>20</v>
      </c>
      <c r="L42" s="387" t="s">
        <v>405</v>
      </c>
      <c r="M42" s="100"/>
      <c r="N42" s="97"/>
    </row>
    <row r="43" spans="1:14" ht="65.25" customHeight="1" x14ac:dyDescent="0.2">
      <c r="A43" s="97"/>
      <c r="B43" s="98"/>
      <c r="C43" s="15"/>
      <c r="D43" s="443"/>
      <c r="E43" s="444"/>
      <c r="F43" s="445"/>
      <c r="G43" s="283"/>
      <c r="H43" s="372"/>
      <c r="I43" s="283"/>
      <c r="J43" s="371"/>
      <c r="K43" s="283"/>
      <c r="L43" s="312"/>
      <c r="M43" s="100"/>
      <c r="N43" s="97"/>
    </row>
    <row r="44" spans="1:14" ht="8.25" customHeight="1" x14ac:dyDescent="0.2">
      <c r="B44" s="93"/>
      <c r="C44" s="12"/>
      <c r="D44" s="443"/>
      <c r="E44" s="444"/>
      <c r="F44" s="445"/>
      <c r="I44" s="283"/>
      <c r="J44" s="371"/>
      <c r="K44" s="283"/>
      <c r="L44" s="312"/>
      <c r="M44" s="94"/>
    </row>
    <row r="45" spans="1:14" ht="15.75" customHeight="1" x14ac:dyDescent="0.2">
      <c r="B45" s="93"/>
      <c r="C45" s="12"/>
      <c r="D45" s="443"/>
      <c r="E45" s="444"/>
      <c r="F45" s="445"/>
      <c r="H45" s="129" t="s">
        <v>406</v>
      </c>
      <c r="I45" s="283"/>
      <c r="J45" s="371"/>
      <c r="K45" s="283"/>
      <c r="L45" s="312"/>
      <c r="M45" s="94"/>
    </row>
    <row r="46" spans="1:14" ht="81.75" customHeight="1" x14ac:dyDescent="0.2">
      <c r="B46" s="93"/>
      <c r="C46" s="12"/>
      <c r="D46" s="443"/>
      <c r="E46" s="444"/>
      <c r="F46" s="445"/>
      <c r="G46" s="459" t="s">
        <v>104</v>
      </c>
      <c r="H46" s="460" t="s">
        <v>407</v>
      </c>
      <c r="I46" s="283"/>
      <c r="J46" s="371"/>
      <c r="K46" s="283"/>
      <c r="L46" s="312"/>
      <c r="M46" s="94"/>
    </row>
    <row r="47" spans="1:14" ht="81.75" customHeight="1" x14ac:dyDescent="0.2">
      <c r="B47" s="93"/>
      <c r="C47" s="12"/>
      <c r="D47" s="443"/>
      <c r="E47" s="444"/>
      <c r="F47" s="445"/>
      <c r="G47" s="283"/>
      <c r="H47" s="371"/>
      <c r="I47" s="283"/>
      <c r="J47" s="371"/>
      <c r="K47" s="283"/>
      <c r="L47" s="312"/>
      <c r="M47" s="94"/>
    </row>
    <row r="48" spans="1:14" ht="81.75" customHeight="1" x14ac:dyDescent="0.2">
      <c r="B48" s="93"/>
      <c r="C48" s="12"/>
      <c r="D48" s="443"/>
      <c r="E48" s="444"/>
      <c r="F48" s="445"/>
      <c r="G48" s="283"/>
      <c r="H48" s="371"/>
      <c r="I48" s="283"/>
      <c r="J48" s="371"/>
      <c r="K48" s="283"/>
      <c r="L48" s="312"/>
      <c r="M48" s="94"/>
    </row>
    <row r="49" spans="2:13" ht="81.75" customHeight="1" x14ac:dyDescent="0.2">
      <c r="B49" s="93"/>
      <c r="C49" s="12"/>
      <c r="D49" s="443"/>
      <c r="E49" s="444"/>
      <c r="F49" s="445"/>
      <c r="G49" s="283"/>
      <c r="H49" s="371"/>
      <c r="I49" s="283"/>
      <c r="J49" s="371"/>
      <c r="K49" s="283"/>
      <c r="L49" s="312"/>
      <c r="M49" s="94"/>
    </row>
    <row r="50" spans="2:13" ht="81.75" customHeight="1" thickBot="1" x14ac:dyDescent="0.25">
      <c r="B50" s="93"/>
      <c r="C50" s="12"/>
      <c r="D50" s="446"/>
      <c r="E50" s="458"/>
      <c r="F50" s="448"/>
      <c r="G50" s="283"/>
      <c r="H50" s="372"/>
      <c r="I50" s="283"/>
      <c r="J50" s="372"/>
      <c r="K50" s="283"/>
      <c r="L50" s="313"/>
      <c r="M50" s="94"/>
    </row>
    <row r="51" spans="2:13" ht="15.75" customHeight="1" thickBot="1" x14ac:dyDescent="0.25">
      <c r="B51" s="103"/>
      <c r="C51" s="39"/>
      <c r="D51" s="40"/>
      <c r="E51" s="40"/>
      <c r="F51" s="40"/>
      <c r="G51" s="40"/>
      <c r="H51" s="118"/>
      <c r="I51" s="40"/>
      <c r="J51" s="40"/>
      <c r="K51" s="40"/>
      <c r="L51" s="40"/>
      <c r="M51" s="104"/>
    </row>
    <row r="52" spans="2:13" ht="14" x14ac:dyDescent="0.2">
      <c r="C52" s="12"/>
      <c r="H52" s="97"/>
      <c r="J52" s="22"/>
      <c r="K52" s="22"/>
      <c r="L52" s="22"/>
    </row>
    <row r="53" spans="2:13" ht="16" x14ac:dyDescent="0.2">
      <c r="B53" s="281" t="s">
        <v>408</v>
      </c>
      <c r="C53" s="281"/>
      <c r="D53" s="281"/>
      <c r="E53" s="281"/>
      <c r="F53" s="281"/>
      <c r="I53" s="299" t="s">
        <v>409</v>
      </c>
      <c r="J53" s="281"/>
      <c r="K53" s="281"/>
      <c r="L53" s="281"/>
      <c r="M53" s="281"/>
    </row>
    <row r="54" spans="2:13" ht="8.25" customHeight="1" x14ac:dyDescent="0.2"/>
    <row r="55" spans="2:13" ht="16" x14ac:dyDescent="0.2">
      <c r="B55" s="280" t="s">
        <v>37</v>
      </c>
      <c r="C55" s="281"/>
      <c r="D55" s="281"/>
      <c r="E55" s="281"/>
      <c r="F55" s="281"/>
      <c r="G55" s="281"/>
      <c r="H55" s="281"/>
      <c r="I55" s="281"/>
      <c r="J55" s="281"/>
      <c r="K55" s="281"/>
      <c r="L55" s="281"/>
      <c r="M55" s="281"/>
    </row>
    <row r="56" spans="2:13" ht="14" x14ac:dyDescent="0.2">
      <c r="C56" s="12"/>
      <c r="H56" s="97"/>
      <c r="J56" s="22"/>
      <c r="K56" s="22"/>
      <c r="L56" s="22"/>
    </row>
    <row r="57" spans="2:13" ht="14" x14ac:dyDescent="0.2">
      <c r="C57" s="12"/>
      <c r="H57" s="97"/>
      <c r="J57" s="22"/>
      <c r="K57" s="22"/>
      <c r="L57" s="22"/>
    </row>
    <row r="58" spans="2:13" ht="14" x14ac:dyDescent="0.2">
      <c r="C58" s="12"/>
      <c r="H58" s="97"/>
      <c r="J58" s="22"/>
      <c r="K58" s="22"/>
      <c r="L58" s="22"/>
    </row>
    <row r="59" spans="2:13" ht="14" x14ac:dyDescent="0.2">
      <c r="C59" s="12"/>
      <c r="H59" s="97"/>
      <c r="J59" s="22"/>
      <c r="K59" s="22"/>
      <c r="L59" s="22"/>
    </row>
  </sheetData>
  <sheetProtection algorithmName="SHA-512" hashValue="lVTXMOPTNUbDy4yrBTo1aGww8oW+54YYUTirDByr4Z3aRs8lHkoreT+GSVhWFPJmXKgHsIkqrtN/M2YxNOmktA==" saltValue="UI+6J7M5Jyur0L4mLeAhCQ==" spinCount="100000" sheet="1" objects="1" scenarios="1"/>
  <mergeCells count="31">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6"/>
      <c r="B1" s="352" t="s">
        <v>410</v>
      </c>
      <c r="C1" s="271"/>
      <c r="D1" s="271"/>
      <c r="E1" s="271"/>
      <c r="F1" s="271"/>
      <c r="G1" s="271"/>
      <c r="H1" s="271"/>
      <c r="I1" s="271"/>
      <c r="J1" s="271"/>
      <c r="K1" s="3"/>
      <c r="L1" s="3"/>
      <c r="M1" s="2"/>
      <c r="N1" s="2"/>
    </row>
    <row r="2" spans="1:14" ht="21.75" customHeight="1" thickBot="1" x14ac:dyDescent="0.25">
      <c r="C2" s="65"/>
      <c r="H2" s="13"/>
      <c r="J2" s="3"/>
      <c r="K2" s="3"/>
      <c r="L2" s="3"/>
    </row>
    <row r="3" spans="1:14" ht="29.25" customHeight="1" x14ac:dyDescent="0.2">
      <c r="B3" s="423" t="s">
        <v>411</v>
      </c>
      <c r="C3" s="424"/>
      <c r="D3" s="424"/>
      <c r="E3" s="424"/>
      <c r="F3" s="424"/>
      <c r="G3" s="8"/>
      <c r="H3" s="25"/>
      <c r="I3" s="8"/>
      <c r="J3" s="66"/>
      <c r="K3" s="66"/>
      <c r="L3" s="425"/>
      <c r="M3" s="426"/>
    </row>
    <row r="4" spans="1:14" ht="14" customHeight="1" x14ac:dyDescent="0.2">
      <c r="B4" s="420" t="s">
        <v>412</v>
      </c>
      <c r="C4" s="421"/>
      <c r="D4" s="421"/>
      <c r="E4" s="421"/>
      <c r="F4" s="421"/>
      <c r="G4" s="421"/>
      <c r="H4" s="421"/>
      <c r="I4" s="421"/>
      <c r="J4" s="421"/>
      <c r="K4" s="421"/>
      <c r="L4" s="421"/>
      <c r="M4" s="422"/>
    </row>
    <row r="5" spans="1:14" ht="15" customHeight="1" x14ac:dyDescent="0.2">
      <c r="B5" s="420"/>
      <c r="C5" s="421"/>
      <c r="D5" s="421"/>
      <c r="E5" s="421"/>
      <c r="F5" s="421"/>
      <c r="G5" s="421"/>
      <c r="H5" s="421"/>
      <c r="I5" s="421"/>
      <c r="J5" s="421"/>
      <c r="K5" s="421"/>
      <c r="L5" s="421"/>
      <c r="M5" s="422"/>
    </row>
    <row r="6" spans="1:14" ht="15" customHeight="1" x14ac:dyDescent="0.2">
      <c r="B6" s="420"/>
      <c r="C6" s="421"/>
      <c r="D6" s="421"/>
      <c r="E6" s="421"/>
      <c r="F6" s="421"/>
      <c r="G6" s="421"/>
      <c r="H6" s="421"/>
      <c r="I6" s="421"/>
      <c r="J6" s="421"/>
      <c r="K6" s="421"/>
      <c r="L6" s="421"/>
      <c r="M6" s="422"/>
    </row>
    <row r="7" spans="1:14" ht="8.25" customHeight="1" x14ac:dyDescent="0.2">
      <c r="B7" s="9"/>
      <c r="C7" s="65"/>
      <c r="H7" s="13"/>
      <c r="J7" s="3"/>
      <c r="K7" s="3"/>
      <c r="L7" s="3"/>
      <c r="M7" s="10"/>
    </row>
    <row r="8" spans="1:14" ht="15.75" customHeight="1" x14ac:dyDescent="0.2">
      <c r="A8" s="23"/>
      <c r="B8" s="26"/>
      <c r="C8" s="67"/>
      <c r="D8" s="27" t="s">
        <v>307</v>
      </c>
      <c r="E8" s="23"/>
      <c r="F8" s="27" t="s">
        <v>308</v>
      </c>
      <c r="G8" s="23"/>
      <c r="H8" s="30" t="s">
        <v>304</v>
      </c>
      <c r="I8" s="30"/>
      <c r="J8" s="30"/>
      <c r="L8" s="29" t="s">
        <v>366</v>
      </c>
      <c r="M8" s="31"/>
    </row>
    <row r="9" spans="1:14" ht="3.75" customHeight="1" x14ac:dyDescent="0.2">
      <c r="B9" s="9"/>
      <c r="C9" s="68"/>
      <c r="D9" s="27"/>
      <c r="F9" s="27"/>
      <c r="H9" s="3"/>
      <c r="I9" s="3"/>
      <c r="J9" s="3"/>
      <c r="L9" s="69"/>
      <c r="M9" s="10"/>
    </row>
    <row r="10" spans="1:14" ht="32" x14ac:dyDescent="0.2">
      <c r="B10" s="9"/>
      <c r="C10" s="70" t="s">
        <v>176</v>
      </c>
      <c r="D10" s="42" t="s">
        <v>310</v>
      </c>
      <c r="E10" s="12"/>
      <c r="F10" s="33" t="s">
        <v>413</v>
      </c>
      <c r="H10" s="463" t="s">
        <v>312</v>
      </c>
      <c r="I10" s="464"/>
      <c r="J10" s="465"/>
      <c r="L10" s="71" t="s">
        <v>313</v>
      </c>
      <c r="M10" s="10"/>
    </row>
    <row r="11" spans="1:14" ht="15.75" customHeight="1" x14ac:dyDescent="0.2">
      <c r="B11" s="9"/>
      <c r="C11" s="72"/>
      <c r="D11" s="35"/>
      <c r="E11" s="12"/>
      <c r="F11" s="36"/>
      <c r="H11" s="36"/>
      <c r="I11" s="36"/>
      <c r="J11" s="36"/>
      <c r="L11" s="36"/>
      <c r="M11" s="10"/>
    </row>
    <row r="12" spans="1:14" ht="45" x14ac:dyDescent="0.2">
      <c r="B12" s="9"/>
      <c r="C12" s="70" t="s">
        <v>178</v>
      </c>
      <c r="D12" s="42" t="s">
        <v>314</v>
      </c>
      <c r="E12" s="12"/>
      <c r="F12" s="33" t="s">
        <v>315</v>
      </c>
      <c r="H12" s="463"/>
      <c r="I12" s="464"/>
      <c r="J12" s="465"/>
      <c r="L12" s="71" t="s">
        <v>317</v>
      </c>
      <c r="M12" s="10"/>
    </row>
    <row r="13" spans="1:14" ht="15.75" customHeight="1" x14ac:dyDescent="0.2">
      <c r="A13" s="73"/>
      <c r="B13" s="9"/>
      <c r="M13" s="10"/>
    </row>
    <row r="14" spans="1:14" ht="30" x14ac:dyDescent="0.2">
      <c r="A14" s="73"/>
      <c r="B14" s="74"/>
      <c r="C14" s="75" t="s">
        <v>180</v>
      </c>
      <c r="D14" s="76" t="s">
        <v>395</v>
      </c>
      <c r="E14" s="77"/>
      <c r="F14" s="78" t="s">
        <v>319</v>
      </c>
      <c r="G14" s="77"/>
      <c r="H14" s="494"/>
      <c r="I14" s="464"/>
      <c r="J14" s="465"/>
      <c r="L14" s="79" t="s">
        <v>321</v>
      </c>
      <c r="M14" s="73"/>
    </row>
    <row r="15" spans="1:14" ht="15.75" customHeight="1" x14ac:dyDescent="0.2">
      <c r="B15" s="9"/>
      <c r="M15" s="10"/>
    </row>
    <row r="16" spans="1:14" ht="101.25" customHeight="1" x14ac:dyDescent="0.2">
      <c r="B16" s="9"/>
      <c r="C16" s="70" t="s">
        <v>228</v>
      </c>
      <c r="D16" s="42" t="s">
        <v>374</v>
      </c>
      <c r="E16" s="12"/>
      <c r="F16" s="485" t="s">
        <v>414</v>
      </c>
      <c r="H16" s="487"/>
      <c r="I16" s="488"/>
      <c r="J16" s="489"/>
      <c r="L16" s="493" t="s">
        <v>325</v>
      </c>
      <c r="M16" s="10"/>
    </row>
    <row r="17" spans="2:13" ht="101.25" customHeight="1" x14ac:dyDescent="0.2">
      <c r="B17" s="9"/>
      <c r="C17" s="72"/>
      <c r="D17" s="42"/>
      <c r="E17" s="12"/>
      <c r="F17" s="486"/>
      <c r="H17" s="490"/>
      <c r="I17" s="491"/>
      <c r="J17" s="492"/>
      <c r="L17" s="486"/>
      <c r="M17" s="10"/>
    </row>
    <row r="18" spans="2:13" ht="15.75" customHeight="1" x14ac:dyDescent="0.2">
      <c r="B18" s="9"/>
      <c r="C18" s="65"/>
      <c r="H18" s="3"/>
      <c r="I18" s="3"/>
      <c r="J18" s="3"/>
      <c r="L18" s="36"/>
      <c r="M18" s="10"/>
    </row>
    <row r="19" spans="2:13" ht="98.25" customHeight="1" x14ac:dyDescent="0.2">
      <c r="B19" s="9"/>
      <c r="C19" s="70" t="s">
        <v>326</v>
      </c>
      <c r="D19" s="42" t="s">
        <v>13</v>
      </c>
      <c r="E19" s="12"/>
      <c r="F19" s="485" t="s">
        <v>327</v>
      </c>
      <c r="H19" s="487"/>
      <c r="I19" s="488"/>
      <c r="J19" s="489"/>
      <c r="L19" s="493" t="s">
        <v>373</v>
      </c>
      <c r="M19" s="10"/>
    </row>
    <row r="20" spans="2:13" ht="98.25" customHeight="1" x14ac:dyDescent="0.2">
      <c r="B20" s="9"/>
      <c r="C20" s="72"/>
      <c r="D20" s="42"/>
      <c r="E20" s="12"/>
      <c r="F20" s="495"/>
      <c r="H20" s="496"/>
      <c r="I20" s="497"/>
      <c r="J20" s="498"/>
      <c r="L20" s="495"/>
      <c r="M20" s="10"/>
    </row>
    <row r="21" spans="2:13" ht="98.25" customHeight="1" x14ac:dyDescent="0.2">
      <c r="B21" s="9"/>
      <c r="C21" s="72"/>
      <c r="D21" s="42"/>
      <c r="E21" s="12"/>
      <c r="F21" s="486"/>
      <c r="H21" s="490"/>
      <c r="I21" s="491"/>
      <c r="J21" s="492"/>
      <c r="L21" s="486"/>
      <c r="M21" s="10"/>
    </row>
    <row r="22" spans="2:13" ht="15.75" customHeight="1" x14ac:dyDescent="0.2">
      <c r="B22" s="9"/>
      <c r="C22" s="65"/>
      <c r="D22" s="11"/>
      <c r="H22" s="3"/>
      <c r="I22" s="3"/>
      <c r="J22" s="3"/>
      <c r="L22" s="36"/>
      <c r="M22" s="10"/>
    </row>
    <row r="23" spans="2:13" ht="45" x14ac:dyDescent="0.2">
      <c r="B23" s="9"/>
      <c r="C23" s="70" t="s">
        <v>330</v>
      </c>
      <c r="D23" s="42" t="s">
        <v>331</v>
      </c>
      <c r="E23" s="12"/>
      <c r="F23" s="33" t="s">
        <v>415</v>
      </c>
      <c r="H23" s="463"/>
      <c r="I23" s="464"/>
      <c r="J23" s="465"/>
      <c r="L23" s="71" t="s">
        <v>416</v>
      </c>
      <c r="M23" s="10"/>
    </row>
    <row r="24" spans="2:13" ht="15.75" customHeight="1" x14ac:dyDescent="0.2">
      <c r="B24" s="9"/>
      <c r="C24" s="65"/>
      <c r="D24" s="11"/>
      <c r="H24" s="3"/>
      <c r="I24" s="3"/>
      <c r="J24" s="3"/>
      <c r="L24" s="36"/>
      <c r="M24" s="10"/>
    </row>
    <row r="25" spans="2:13" ht="45" x14ac:dyDescent="0.2">
      <c r="B25" s="9"/>
      <c r="C25" s="70" t="s">
        <v>335</v>
      </c>
      <c r="D25" s="42" t="s">
        <v>336</v>
      </c>
      <c r="E25" s="12"/>
      <c r="F25" s="33" t="s">
        <v>337</v>
      </c>
      <c r="H25" s="463"/>
      <c r="I25" s="464"/>
      <c r="J25" s="465"/>
      <c r="L25" s="71" t="s">
        <v>417</v>
      </c>
      <c r="M25" s="10"/>
    </row>
    <row r="26" spans="2:13" ht="15.75" customHeight="1" x14ac:dyDescent="0.2">
      <c r="B26" s="9"/>
      <c r="C26" s="65"/>
      <c r="D26" s="11"/>
      <c r="H26" s="3"/>
      <c r="I26" s="3"/>
      <c r="J26" s="3"/>
      <c r="L26" s="36"/>
      <c r="M26" s="10"/>
    </row>
    <row r="27" spans="2:13" ht="60" x14ac:dyDescent="0.2">
      <c r="B27" s="9"/>
      <c r="C27" s="70" t="s">
        <v>340</v>
      </c>
      <c r="D27" s="42" t="s">
        <v>378</v>
      </c>
      <c r="E27" s="12"/>
      <c r="F27" s="33" t="s">
        <v>342</v>
      </c>
      <c r="H27" s="463"/>
      <c r="I27" s="464"/>
      <c r="J27" s="465"/>
      <c r="L27" s="71" t="s">
        <v>418</v>
      </c>
      <c r="M27" s="10"/>
    </row>
    <row r="28" spans="2:13" ht="15.75" customHeight="1" x14ac:dyDescent="0.2">
      <c r="B28" s="9"/>
      <c r="C28" s="65"/>
      <c r="D28" s="11"/>
      <c r="H28" s="3"/>
      <c r="I28" s="3"/>
      <c r="J28" s="3"/>
      <c r="L28" s="36"/>
      <c r="M28" s="10"/>
    </row>
    <row r="29" spans="2:13" ht="84" customHeight="1" x14ac:dyDescent="0.2">
      <c r="B29" s="9"/>
      <c r="C29" s="70" t="s">
        <v>345</v>
      </c>
      <c r="D29" s="42" t="s">
        <v>380</v>
      </c>
      <c r="E29" s="12"/>
      <c r="F29" s="485" t="s">
        <v>347</v>
      </c>
      <c r="H29" s="487"/>
      <c r="I29" s="488"/>
      <c r="J29" s="489"/>
      <c r="L29" s="493" t="s">
        <v>419</v>
      </c>
      <c r="M29" s="10"/>
    </row>
    <row r="30" spans="2:13" ht="84" customHeight="1" x14ac:dyDescent="0.2">
      <c r="B30" s="9"/>
      <c r="C30" s="72"/>
      <c r="D30" s="42"/>
      <c r="E30" s="12"/>
      <c r="F30" s="486"/>
      <c r="H30" s="490"/>
      <c r="I30" s="491"/>
      <c r="J30" s="492"/>
      <c r="L30" s="486"/>
      <c r="M30" s="10"/>
    </row>
    <row r="31" spans="2:13" ht="15.75" customHeight="1" x14ac:dyDescent="0.2">
      <c r="B31" s="9"/>
      <c r="C31" s="65"/>
      <c r="D31" s="11"/>
      <c r="H31" s="3"/>
      <c r="I31" s="3"/>
      <c r="J31" s="3"/>
      <c r="L31" s="36"/>
      <c r="M31" s="10"/>
    </row>
    <row r="32" spans="2:13" ht="56" x14ac:dyDescent="0.2">
      <c r="B32" s="9"/>
      <c r="C32" s="70" t="s">
        <v>350</v>
      </c>
      <c r="D32" s="42" t="s">
        <v>351</v>
      </c>
      <c r="E32" s="12"/>
      <c r="F32" s="33" t="s">
        <v>382</v>
      </c>
      <c r="H32" s="463"/>
      <c r="I32" s="464"/>
      <c r="J32" s="465"/>
      <c r="L32" s="71" t="s">
        <v>403</v>
      </c>
      <c r="M32" s="10"/>
    </row>
    <row r="33" spans="1:14" ht="22.5" customHeight="1" x14ac:dyDescent="0.2">
      <c r="B33" s="9"/>
      <c r="C33" s="65"/>
      <c r="H33" s="13"/>
      <c r="J33" s="3"/>
      <c r="K33" s="3"/>
      <c r="L33" s="3"/>
      <c r="M33" s="10"/>
    </row>
    <row r="34" spans="1:14" ht="14" customHeight="1" x14ac:dyDescent="0.2">
      <c r="B34" s="420" t="s">
        <v>385</v>
      </c>
      <c r="C34" s="421"/>
      <c r="D34" s="421"/>
      <c r="E34" s="421"/>
      <c r="F34" s="421"/>
      <c r="G34" s="421"/>
      <c r="H34" s="421"/>
      <c r="I34" s="421"/>
      <c r="J34" s="421"/>
      <c r="K34" s="421"/>
      <c r="L34" s="421"/>
      <c r="M34" s="422"/>
    </row>
    <row r="35" spans="1:14" ht="15" customHeight="1" x14ac:dyDescent="0.2">
      <c r="B35" s="420"/>
      <c r="C35" s="421"/>
      <c r="D35" s="421"/>
      <c r="E35" s="421"/>
      <c r="F35" s="421"/>
      <c r="G35" s="421"/>
      <c r="H35" s="421"/>
      <c r="I35" s="421"/>
      <c r="J35" s="421"/>
      <c r="K35" s="421"/>
      <c r="L35" s="421"/>
      <c r="M35" s="422"/>
    </row>
    <row r="36" spans="1:14" ht="15" customHeight="1" x14ac:dyDescent="0.2">
      <c r="B36" s="420"/>
      <c r="C36" s="421"/>
      <c r="D36" s="421"/>
      <c r="E36" s="421"/>
      <c r="F36" s="421"/>
      <c r="G36" s="421"/>
      <c r="H36" s="421"/>
      <c r="I36" s="421"/>
      <c r="J36" s="421"/>
      <c r="K36" s="421"/>
      <c r="L36" s="421"/>
      <c r="M36" s="422"/>
    </row>
    <row r="37" spans="1:14" ht="8.25" customHeight="1" x14ac:dyDescent="0.2">
      <c r="B37" s="9"/>
      <c r="C37" s="65"/>
      <c r="H37" s="13"/>
      <c r="J37" s="3"/>
      <c r="K37" s="3"/>
      <c r="L37" s="3"/>
      <c r="M37" s="10"/>
    </row>
    <row r="38" spans="1:14" ht="46.5" customHeight="1" thickBot="1" x14ac:dyDescent="0.25">
      <c r="A38" s="23"/>
      <c r="B38" s="26"/>
      <c r="C38" s="67"/>
      <c r="D38" s="466" t="s">
        <v>356</v>
      </c>
      <c r="E38" s="271"/>
      <c r="F38" s="271"/>
      <c r="G38" s="23"/>
      <c r="H38" s="27" t="s">
        <v>420</v>
      </c>
      <c r="I38" s="23"/>
      <c r="J38" s="27" t="s">
        <v>358</v>
      </c>
      <c r="K38" s="27"/>
      <c r="L38" s="27" t="s">
        <v>18</v>
      </c>
      <c r="M38" s="31"/>
      <c r="N38" s="23"/>
    </row>
    <row r="39" spans="1:14" ht="48" customHeight="1" x14ac:dyDescent="0.2">
      <c r="A39" s="13"/>
      <c r="B39" s="14"/>
      <c r="C39" s="80"/>
      <c r="D39" s="467" t="str">
        <f>CONCATENATE(H10, " ", H12," ",H14,CHAR(10),CHAR(10),H16,CHAR(10),H19,CHAR(10),H22,CHAR(10), H23, CHAR(10),H24,CHAR(10),H26,CHAR(10),H28,,CHAR(10),H30,H32)</f>
        <v xml:space="preserve">
Human:  
</v>
      </c>
      <c r="E39" s="468"/>
      <c r="F39" s="469"/>
      <c r="G39" s="459" t="s">
        <v>104</v>
      </c>
      <c r="H39" s="476" t="s">
        <v>421</v>
      </c>
      <c r="I39" s="369" t="s">
        <v>106</v>
      </c>
      <c r="J39" s="479" t="str">
        <f>SUBSTITUTE(D39,"{{CODE}}",H39)</f>
        <v xml:space="preserve">
Human:  
</v>
      </c>
      <c r="K39" s="336" t="s">
        <v>20</v>
      </c>
      <c r="L39" s="482" t="s">
        <v>630</v>
      </c>
      <c r="M39" s="16"/>
      <c r="N39" s="13"/>
    </row>
    <row r="40" spans="1:14" ht="48" customHeight="1" x14ac:dyDescent="0.2">
      <c r="A40" s="13"/>
      <c r="B40" s="14"/>
      <c r="C40" s="80"/>
      <c r="D40" s="470"/>
      <c r="E40" s="471"/>
      <c r="F40" s="472"/>
      <c r="G40" s="271"/>
      <c r="H40" s="477"/>
      <c r="I40" s="271"/>
      <c r="J40" s="480"/>
      <c r="K40" s="271"/>
      <c r="L40" s="483"/>
      <c r="M40" s="16"/>
      <c r="N40" s="13"/>
    </row>
    <row r="41" spans="1:14" ht="48" customHeight="1" x14ac:dyDescent="0.2">
      <c r="A41" s="13"/>
      <c r="B41" s="14"/>
      <c r="C41" s="80"/>
      <c r="D41" s="470"/>
      <c r="E41" s="471"/>
      <c r="F41" s="472"/>
      <c r="G41" s="271"/>
      <c r="H41" s="477"/>
      <c r="I41" s="271"/>
      <c r="J41" s="480"/>
      <c r="K41" s="271"/>
      <c r="L41" s="483"/>
      <c r="M41" s="16"/>
      <c r="N41" s="13"/>
    </row>
    <row r="42" spans="1:14" ht="48" customHeight="1" x14ac:dyDescent="0.2">
      <c r="A42" s="13"/>
      <c r="B42" s="14"/>
      <c r="C42" s="80"/>
      <c r="D42" s="470"/>
      <c r="E42" s="471"/>
      <c r="F42" s="472"/>
      <c r="G42" s="271"/>
      <c r="H42" s="477"/>
      <c r="I42" s="271"/>
      <c r="J42" s="480"/>
      <c r="K42" s="271"/>
      <c r="L42" s="483"/>
      <c r="M42" s="16"/>
      <c r="N42" s="13"/>
    </row>
    <row r="43" spans="1:14" ht="48" customHeight="1" x14ac:dyDescent="0.2">
      <c r="A43" s="13"/>
      <c r="B43" s="14"/>
      <c r="C43" s="80"/>
      <c r="D43" s="470"/>
      <c r="E43" s="471"/>
      <c r="F43" s="472"/>
      <c r="G43" s="271"/>
      <c r="H43" s="477"/>
      <c r="I43" s="271"/>
      <c r="J43" s="480"/>
      <c r="K43" s="271"/>
      <c r="L43" s="483"/>
      <c r="M43" s="16"/>
      <c r="N43" s="13"/>
    </row>
    <row r="44" spans="1:14" ht="48" customHeight="1" x14ac:dyDescent="0.2">
      <c r="A44" s="13"/>
      <c r="B44" s="14"/>
      <c r="C44" s="80"/>
      <c r="D44" s="470"/>
      <c r="E44" s="471"/>
      <c r="F44" s="472"/>
      <c r="G44" s="271"/>
      <c r="H44" s="477"/>
      <c r="I44" s="271"/>
      <c r="J44" s="480"/>
      <c r="K44" s="271"/>
      <c r="L44" s="483"/>
      <c r="M44" s="16"/>
      <c r="N44" s="13"/>
    </row>
    <row r="45" spans="1:14" ht="48" customHeight="1" thickBot="1" x14ac:dyDescent="0.25">
      <c r="A45" s="13"/>
      <c r="B45" s="14"/>
      <c r="C45" s="80"/>
      <c r="D45" s="473"/>
      <c r="E45" s="474"/>
      <c r="F45" s="475"/>
      <c r="G45" s="271"/>
      <c r="H45" s="478"/>
      <c r="I45" s="271"/>
      <c r="J45" s="481"/>
      <c r="K45" s="271"/>
      <c r="L45" s="484"/>
      <c r="M45" s="16"/>
      <c r="N45" s="13"/>
    </row>
    <row r="46" spans="1:14" ht="15.75" customHeight="1" thickBot="1" x14ac:dyDescent="0.25">
      <c r="B46" s="17"/>
      <c r="C46" s="81"/>
      <c r="D46" s="18"/>
      <c r="E46" s="18"/>
      <c r="F46" s="18"/>
      <c r="G46" s="18"/>
      <c r="H46" s="82"/>
      <c r="I46" s="18"/>
      <c r="J46" s="83"/>
      <c r="K46" s="83"/>
      <c r="L46" s="83"/>
      <c r="M46" s="19"/>
    </row>
    <row r="47" spans="1:14" ht="14" x14ac:dyDescent="0.2">
      <c r="C47" s="65"/>
      <c r="H47" s="13"/>
      <c r="J47" s="3"/>
      <c r="K47" s="3"/>
      <c r="L47" s="3"/>
    </row>
    <row r="48" spans="1:14" ht="16" x14ac:dyDescent="0.2">
      <c r="B48" s="408" t="s">
        <v>422</v>
      </c>
      <c r="C48" s="408"/>
      <c r="D48" s="408"/>
      <c r="E48" s="408"/>
      <c r="F48" s="408"/>
      <c r="I48" s="298" t="s">
        <v>423</v>
      </c>
      <c r="J48" s="408"/>
      <c r="K48" s="408"/>
      <c r="L48" s="408"/>
      <c r="M48" s="408"/>
    </row>
    <row r="49" spans="2:13" ht="8.25" customHeight="1" x14ac:dyDescent="0.2"/>
    <row r="50" spans="2:13" ht="16" x14ac:dyDescent="0.2">
      <c r="B50" s="407" t="s">
        <v>37</v>
      </c>
      <c r="C50" s="408"/>
      <c r="D50" s="408"/>
      <c r="E50" s="408"/>
      <c r="F50" s="408"/>
      <c r="G50" s="408"/>
      <c r="H50" s="408"/>
      <c r="I50" s="408"/>
      <c r="J50" s="408"/>
      <c r="K50" s="408"/>
      <c r="L50" s="408"/>
      <c r="M50" s="408"/>
    </row>
    <row r="51" spans="2:13" ht="14" x14ac:dyDescent="0.2">
      <c r="C51" s="65"/>
      <c r="H51" s="13"/>
      <c r="J51" s="3"/>
      <c r="K51" s="3"/>
      <c r="L51" s="3"/>
    </row>
    <row r="52" spans="2:13" ht="14" x14ac:dyDescent="0.2">
      <c r="C52" s="65"/>
      <c r="H52" s="13"/>
      <c r="J52" s="3"/>
      <c r="K52" s="3"/>
      <c r="L52" s="3"/>
    </row>
    <row r="53" spans="2:13" ht="14" x14ac:dyDescent="0.2">
      <c r="C53" s="65"/>
      <c r="H53" s="13"/>
      <c r="J53" s="3"/>
      <c r="K53" s="3"/>
      <c r="L53" s="3"/>
    </row>
    <row r="54" spans="2:13" ht="14" x14ac:dyDescent="0.2">
      <c r="C54" s="65"/>
      <c r="H54" s="13"/>
      <c r="J54" s="3"/>
      <c r="K54" s="3"/>
      <c r="L54" s="3"/>
    </row>
  </sheetData>
  <sheetProtection algorithmName="SHA-512" hashValue="KKdWieCePe8RzBtGbaFYqH6CzILnpbHtyj7wLMj9iq6u8X8K9lZu7tvbMvrpUr/V0Zzly8+roE4XJK5AsyLqqA==" saltValue="ZbIuP1sEZ9OfI4v8Xhb2XA==" spinCount="100000" sheet="1" objects="1" scenarios="1"/>
  <mergeCells count="32">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 ref="H25:J25"/>
    <mergeCell ref="H27:J27"/>
    <mergeCell ref="F29:F30"/>
    <mergeCell ref="H29:J30"/>
    <mergeCell ref="B48:F48"/>
    <mergeCell ref="I48:M48"/>
    <mergeCell ref="B50:M50"/>
    <mergeCell ref="H32:J32"/>
    <mergeCell ref="D38:F38"/>
    <mergeCell ref="D39:F45"/>
    <mergeCell ref="G39:G45"/>
    <mergeCell ref="H39:H45"/>
    <mergeCell ref="I39:I45"/>
    <mergeCell ref="J39:J45"/>
    <mergeCell ref="K39:K45"/>
    <mergeCell ref="L39:L45"/>
  </mergeCells>
  <conditionalFormatting sqref="L39:L45">
    <cfRule type="containsText" dxfId="0"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60.83203125" style="89" customWidth="1"/>
    <col min="4" max="4" width="4" style="89" customWidth="1"/>
    <col min="5" max="6" width="40.83203125" style="89" customWidth="1"/>
    <col min="7" max="7" width="3" style="89" customWidth="1"/>
    <col min="8" max="9" width="5.5" style="89" customWidth="1"/>
    <col min="10" max="16384" width="12.6640625" style="89"/>
  </cols>
  <sheetData>
    <row r="1" spans="1:9" ht="40" customHeight="1" x14ac:dyDescent="0.2">
      <c r="A1" s="88"/>
      <c r="B1" s="352" t="s">
        <v>424</v>
      </c>
      <c r="C1" s="283"/>
      <c r="D1" s="283"/>
      <c r="E1" s="283"/>
      <c r="F1" s="87"/>
      <c r="G1" s="22"/>
      <c r="H1" s="22"/>
      <c r="I1" s="22"/>
    </row>
    <row r="2" spans="1:9" ht="21.75" customHeight="1" thickBot="1" x14ac:dyDescent="0.25"/>
    <row r="3" spans="1:9" ht="29.25" customHeight="1" x14ac:dyDescent="0.2">
      <c r="A3" s="22"/>
      <c r="B3" s="300" t="s">
        <v>425</v>
      </c>
      <c r="C3" s="301"/>
      <c r="D3" s="301"/>
      <c r="E3" s="301"/>
      <c r="F3" s="302"/>
      <c r="G3" s="303"/>
      <c r="H3" s="22"/>
      <c r="I3" s="22"/>
    </row>
    <row r="4" spans="1:9" ht="14" customHeight="1" x14ac:dyDescent="0.2">
      <c r="B4" s="296" t="s">
        <v>585</v>
      </c>
      <c r="C4" s="288"/>
      <c r="D4" s="288"/>
      <c r="E4" s="288"/>
      <c r="F4" s="288"/>
      <c r="G4" s="297"/>
    </row>
    <row r="5" spans="1:9" ht="14" customHeight="1" x14ac:dyDescent="0.2">
      <c r="B5" s="296"/>
      <c r="C5" s="288"/>
      <c r="D5" s="288"/>
      <c r="E5" s="288"/>
      <c r="F5" s="288"/>
      <c r="G5" s="297"/>
    </row>
    <row r="6" spans="1:9" ht="14" customHeight="1" x14ac:dyDescent="0.2">
      <c r="B6" s="296"/>
      <c r="C6" s="288"/>
      <c r="D6" s="288"/>
      <c r="E6" s="288"/>
      <c r="F6" s="288"/>
      <c r="G6" s="297"/>
    </row>
    <row r="7" spans="1:9" ht="15" customHeight="1" x14ac:dyDescent="0.2">
      <c r="B7" s="296"/>
      <c r="C7" s="288"/>
      <c r="D7" s="288"/>
      <c r="E7" s="288"/>
      <c r="F7" s="288"/>
      <c r="G7" s="297"/>
    </row>
    <row r="8" spans="1:9" ht="15" customHeight="1" x14ac:dyDescent="0.2">
      <c r="B8" s="296"/>
      <c r="C8" s="288"/>
      <c r="D8" s="288"/>
      <c r="E8" s="288"/>
      <c r="F8" s="288"/>
      <c r="G8" s="297"/>
    </row>
    <row r="9" spans="1:9" ht="14" x14ac:dyDescent="0.2">
      <c r="B9" s="183"/>
      <c r="C9" s="184"/>
      <c r="D9" s="184"/>
      <c r="E9" s="184"/>
      <c r="F9" s="184"/>
      <c r="G9" s="185"/>
    </row>
    <row r="10" spans="1:9" ht="18.75" customHeight="1" x14ac:dyDescent="0.2">
      <c r="A10" s="22"/>
      <c r="B10" s="499" t="s">
        <v>426</v>
      </c>
      <c r="C10" s="283"/>
      <c r="D10" s="283"/>
      <c r="E10" s="283"/>
      <c r="F10" s="283"/>
      <c r="G10" s="284"/>
      <c r="H10" s="22"/>
      <c r="I10" s="22"/>
    </row>
    <row r="11" spans="1:9" ht="17" x14ac:dyDescent="0.2">
      <c r="B11" s="186" t="s">
        <v>427</v>
      </c>
      <c r="C11" s="506" t="s">
        <v>428</v>
      </c>
      <c r="D11" s="283"/>
      <c r="E11" s="283"/>
      <c r="F11" s="283"/>
      <c r="G11" s="284"/>
    </row>
    <row r="12" spans="1:9" ht="17" x14ac:dyDescent="0.2">
      <c r="B12" s="186" t="s">
        <v>427</v>
      </c>
      <c r="C12" s="507" t="s">
        <v>429</v>
      </c>
      <c r="D12" s="283"/>
      <c r="E12" s="283"/>
      <c r="F12" s="283"/>
      <c r="G12" s="284"/>
    </row>
    <row r="13" spans="1:9" ht="17" x14ac:dyDescent="0.2">
      <c r="A13" s="175"/>
      <c r="B13" s="187" t="s">
        <v>427</v>
      </c>
      <c r="C13" s="506" t="s">
        <v>430</v>
      </c>
      <c r="D13" s="283"/>
      <c r="E13" s="283"/>
      <c r="F13" s="283"/>
      <c r="G13" s="284"/>
      <c r="H13" s="176"/>
      <c r="I13" s="176"/>
    </row>
    <row r="14" spans="1:9" ht="17" x14ac:dyDescent="0.2">
      <c r="A14" s="175"/>
      <c r="B14" s="187" t="s">
        <v>427</v>
      </c>
      <c r="C14" s="506" t="s">
        <v>431</v>
      </c>
      <c r="D14" s="283"/>
      <c r="E14" s="283"/>
      <c r="F14" s="283"/>
      <c r="G14" s="284"/>
      <c r="H14" s="176"/>
      <c r="I14" s="176"/>
    </row>
    <row r="15" spans="1:9" ht="17" x14ac:dyDescent="0.2">
      <c r="A15" s="175"/>
      <c r="B15" s="187" t="s">
        <v>427</v>
      </c>
      <c r="C15" s="506" t="s">
        <v>432</v>
      </c>
      <c r="D15" s="283"/>
      <c r="E15" s="283"/>
      <c r="F15" s="283"/>
      <c r="G15" s="284"/>
      <c r="H15" s="176"/>
      <c r="I15" s="176"/>
    </row>
    <row r="16" spans="1:9" ht="17" x14ac:dyDescent="0.2">
      <c r="B16" s="186" t="s">
        <v>427</v>
      </c>
      <c r="C16" s="332" t="s">
        <v>433</v>
      </c>
      <c r="D16" s="283"/>
      <c r="E16" s="283"/>
      <c r="F16" s="283"/>
      <c r="G16" s="284"/>
    </row>
    <row r="17" spans="1:9" ht="14" x14ac:dyDescent="0.2">
      <c r="B17" s="183"/>
      <c r="C17" s="184"/>
      <c r="D17" s="184"/>
      <c r="E17" s="184"/>
      <c r="F17" s="184"/>
      <c r="G17" s="185"/>
    </row>
    <row r="18" spans="1:9" ht="14" x14ac:dyDescent="0.2">
      <c r="A18" s="22"/>
      <c r="B18" s="499" t="s">
        <v>586</v>
      </c>
      <c r="C18" s="283"/>
      <c r="D18" s="283"/>
      <c r="E18" s="283"/>
      <c r="F18" s="283"/>
      <c r="G18" s="284"/>
      <c r="H18" s="22"/>
      <c r="I18" s="22"/>
    </row>
    <row r="19" spans="1:9" ht="8.25" customHeight="1" x14ac:dyDescent="0.2">
      <c r="B19" s="93"/>
      <c r="G19" s="94"/>
    </row>
    <row r="20" spans="1:9" ht="15.75" customHeight="1" x14ac:dyDescent="0.2">
      <c r="B20" s="93"/>
      <c r="C20" s="95" t="s">
        <v>17</v>
      </c>
      <c r="E20" s="95" t="s">
        <v>18</v>
      </c>
      <c r="F20" s="95"/>
      <c r="G20" s="94"/>
    </row>
    <row r="21" spans="1:9" ht="63" customHeight="1" x14ac:dyDescent="0.2">
      <c r="B21" s="93"/>
      <c r="C21" s="370" t="s">
        <v>434</v>
      </c>
      <c r="D21" s="12" t="s">
        <v>20</v>
      </c>
      <c r="E21" s="500" t="s">
        <v>435</v>
      </c>
      <c r="F21" s="501"/>
      <c r="G21" s="94"/>
    </row>
    <row r="22" spans="1:9" ht="63" customHeight="1" x14ac:dyDescent="0.2">
      <c r="B22" s="93"/>
      <c r="C22" s="371"/>
      <c r="D22" s="12"/>
      <c r="E22" s="502"/>
      <c r="F22" s="503"/>
      <c r="G22" s="94"/>
    </row>
    <row r="23" spans="1:9" ht="63" customHeight="1" x14ac:dyDescent="0.2">
      <c r="B23" s="93"/>
      <c r="C23" s="371"/>
      <c r="D23" s="12"/>
      <c r="E23" s="502"/>
      <c r="F23" s="503"/>
      <c r="G23" s="94"/>
    </row>
    <row r="24" spans="1:9" ht="63" customHeight="1" x14ac:dyDescent="0.2">
      <c r="B24" s="93"/>
      <c r="C24" s="372"/>
      <c r="D24" s="12"/>
      <c r="E24" s="504"/>
      <c r="F24" s="505"/>
      <c r="G24" s="94"/>
    </row>
    <row r="25" spans="1:9" ht="15.75" customHeight="1" thickBot="1" x14ac:dyDescent="0.25">
      <c r="B25" s="103"/>
      <c r="C25" s="40"/>
      <c r="D25" s="40"/>
      <c r="E25" s="40"/>
      <c r="F25" s="40"/>
      <c r="G25" s="104"/>
    </row>
    <row r="27" spans="1:9" ht="16" x14ac:dyDescent="0.2">
      <c r="B27" s="281" t="s">
        <v>436</v>
      </c>
      <c r="C27" s="281"/>
      <c r="D27" s="281"/>
      <c r="E27" s="299" t="s">
        <v>437</v>
      </c>
      <c r="F27" s="281"/>
      <c r="G27" s="281"/>
    </row>
    <row r="28" spans="1:9" ht="8.25" customHeight="1" x14ac:dyDescent="0.2"/>
    <row r="29" spans="1:9" ht="16" x14ac:dyDescent="0.2">
      <c r="B29" s="280" t="s">
        <v>37</v>
      </c>
      <c r="C29" s="281"/>
      <c r="D29" s="281"/>
      <c r="E29" s="281"/>
      <c r="F29" s="281"/>
      <c r="G29" s="281"/>
    </row>
  </sheetData>
  <sheetProtection algorithmName="SHA-512" hashValue="N41wODS7mEJsy8QHfooWlr2zWAdgsStql34AEo9nejHKL9rbjM9YkO0kycYWXMLZOw1hoRIRZgOmOVFzKVeX6g==" saltValue="edrdb0WIsDgcxwuurisp7A==" spinCount="100000" sheet="1" objects="1" scenarios="1"/>
  <mergeCells count="17">
    <mergeCell ref="C16:G16"/>
    <mergeCell ref="B1:E1"/>
    <mergeCell ref="B3:E3"/>
    <mergeCell ref="F3:G3"/>
    <mergeCell ref="B10:G10"/>
    <mergeCell ref="B4:G8"/>
    <mergeCell ref="C11:G11"/>
    <mergeCell ref="C12:G12"/>
    <mergeCell ref="C13:G13"/>
    <mergeCell ref="C14:G14"/>
    <mergeCell ref="C15:G15"/>
    <mergeCell ref="B29:G29"/>
    <mergeCell ref="B18:G18"/>
    <mergeCell ref="C21:C24"/>
    <mergeCell ref="E21:F24"/>
    <mergeCell ref="B27:D27"/>
    <mergeCell ref="E27:G27"/>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52" t="s">
        <v>438</v>
      </c>
      <c r="C1" s="283"/>
      <c r="D1" s="283"/>
      <c r="E1" s="283"/>
      <c r="F1" s="283"/>
      <c r="G1" s="283"/>
      <c r="H1" s="22"/>
      <c r="I1" s="22"/>
      <c r="J1" s="22"/>
      <c r="K1" s="22"/>
    </row>
    <row r="2" spans="1:11" ht="21.75" customHeight="1" thickBot="1" x14ac:dyDescent="0.25">
      <c r="D2" s="22"/>
      <c r="F2" s="22"/>
      <c r="G2" s="97"/>
      <c r="H2" s="22"/>
      <c r="I2" s="22"/>
    </row>
    <row r="3" spans="1:11" ht="29.25" customHeight="1" x14ac:dyDescent="0.2">
      <c r="A3" s="22"/>
      <c r="B3" s="300" t="s">
        <v>12</v>
      </c>
      <c r="C3" s="301"/>
      <c r="D3" s="301"/>
      <c r="E3" s="301"/>
      <c r="F3" s="24"/>
      <c r="G3" s="127"/>
      <c r="H3" s="24"/>
      <c r="I3" s="302"/>
      <c r="J3" s="303"/>
      <c r="K3" s="22"/>
    </row>
    <row r="4" spans="1:11" ht="15" customHeight="1" x14ac:dyDescent="0.2">
      <c r="B4" s="296" t="s">
        <v>587</v>
      </c>
      <c r="C4" s="288"/>
      <c r="D4" s="288"/>
      <c r="E4" s="288"/>
      <c r="F4" s="288"/>
      <c r="G4" s="288"/>
      <c r="H4" s="288"/>
      <c r="I4" s="288"/>
      <c r="J4" s="297"/>
    </row>
    <row r="5" spans="1:11" ht="15" customHeight="1" x14ac:dyDescent="0.2">
      <c r="B5" s="296"/>
      <c r="C5" s="288"/>
      <c r="D5" s="288"/>
      <c r="E5" s="288"/>
      <c r="F5" s="288"/>
      <c r="G5" s="288"/>
      <c r="H5" s="288"/>
      <c r="I5" s="288"/>
      <c r="J5" s="297"/>
    </row>
    <row r="6" spans="1:11" ht="15" customHeight="1" thickBot="1" x14ac:dyDescent="0.25">
      <c r="B6" s="348"/>
      <c r="C6" s="349"/>
      <c r="D6" s="349"/>
      <c r="E6" s="349"/>
      <c r="F6" s="349"/>
      <c r="G6" s="349"/>
      <c r="H6" s="349"/>
      <c r="I6" s="349"/>
      <c r="J6" s="350"/>
    </row>
    <row r="7" spans="1:11" ht="33.75" customHeight="1" thickBot="1" x14ac:dyDescent="0.25">
      <c r="D7" s="22"/>
      <c r="F7" s="22"/>
      <c r="G7" s="97"/>
      <c r="H7" s="22"/>
      <c r="I7" s="22"/>
    </row>
    <row r="8" spans="1:11" ht="29.25" customHeight="1" x14ac:dyDescent="0.2">
      <c r="B8" s="300" t="s">
        <v>13</v>
      </c>
      <c r="C8" s="301"/>
      <c r="D8" s="301"/>
      <c r="E8" s="301"/>
      <c r="F8" s="24"/>
      <c r="G8" s="127"/>
      <c r="H8" s="24"/>
      <c r="I8" s="302"/>
      <c r="J8" s="303"/>
    </row>
    <row r="9" spans="1:11" ht="14" x14ac:dyDescent="0.2">
      <c r="B9" s="351" t="s">
        <v>439</v>
      </c>
      <c r="C9" s="283"/>
      <c r="D9" s="283"/>
      <c r="E9" s="283"/>
      <c r="F9" s="283"/>
      <c r="G9" s="283"/>
      <c r="H9" s="283"/>
      <c r="I9" s="283"/>
      <c r="J9" s="284"/>
    </row>
    <row r="10" spans="1:11" ht="8.25" customHeight="1" x14ac:dyDescent="0.2">
      <c r="B10" s="93"/>
      <c r="D10" s="22"/>
      <c r="F10" s="22"/>
      <c r="G10" s="97"/>
      <c r="H10" s="22"/>
      <c r="I10" s="22"/>
      <c r="J10" s="94"/>
    </row>
    <row r="11" spans="1:11" ht="16" x14ac:dyDescent="0.2">
      <c r="A11" s="28"/>
      <c r="B11" s="128"/>
      <c r="C11" s="129" t="s">
        <v>17</v>
      </c>
      <c r="D11" s="28"/>
      <c r="E11" s="129"/>
      <c r="F11" s="28"/>
      <c r="G11" s="130" t="s">
        <v>440</v>
      </c>
      <c r="H11" s="28"/>
      <c r="I11" s="129"/>
      <c r="J11" s="131"/>
      <c r="K11" s="28"/>
    </row>
    <row r="12" spans="1:11" ht="74.25" customHeight="1" x14ac:dyDescent="0.2">
      <c r="B12" s="93"/>
      <c r="C12" s="544" t="s">
        <v>441</v>
      </c>
      <c r="D12" s="537"/>
      <c r="E12" s="501"/>
      <c r="F12" s="336" t="s">
        <v>20</v>
      </c>
      <c r="G12" s="544" t="s">
        <v>205</v>
      </c>
      <c r="H12" s="537"/>
      <c r="I12" s="501"/>
      <c r="J12" s="94"/>
    </row>
    <row r="13" spans="1:11" ht="74.25" customHeight="1" x14ac:dyDescent="0.2">
      <c r="B13" s="93"/>
      <c r="C13" s="502"/>
      <c r="D13" s="283"/>
      <c r="E13" s="503"/>
      <c r="F13" s="283"/>
      <c r="G13" s="502"/>
      <c r="H13" s="283"/>
      <c r="I13" s="503"/>
      <c r="J13" s="94"/>
    </row>
    <row r="14" spans="1:11" ht="74.25" customHeight="1" x14ac:dyDescent="0.2">
      <c r="B14" s="93"/>
      <c r="C14" s="504"/>
      <c r="D14" s="538"/>
      <c r="E14" s="505"/>
      <c r="F14" s="283"/>
      <c r="G14" s="504"/>
      <c r="H14" s="538"/>
      <c r="I14" s="505"/>
      <c r="J14" s="94"/>
    </row>
    <row r="15" spans="1:11" ht="15.75" customHeight="1" x14ac:dyDescent="0.2">
      <c r="B15" s="93"/>
      <c r="C15" s="37"/>
      <c r="D15" s="12"/>
      <c r="E15" s="97"/>
      <c r="F15" s="22"/>
      <c r="G15" s="97"/>
      <c r="H15" s="22"/>
      <c r="I15" s="97"/>
      <c r="J15" s="94"/>
    </row>
    <row r="16" spans="1:11" ht="14" customHeight="1" x14ac:dyDescent="0.2">
      <c r="B16" s="296" t="s">
        <v>588</v>
      </c>
      <c r="C16" s="288"/>
      <c r="D16" s="288"/>
      <c r="E16" s="288"/>
      <c r="F16" s="288"/>
      <c r="G16" s="288"/>
      <c r="H16" s="288"/>
      <c r="I16" s="288"/>
      <c r="J16" s="297"/>
    </row>
    <row r="17" spans="1:11" ht="14" customHeight="1" x14ac:dyDescent="0.2">
      <c r="B17" s="296"/>
      <c r="C17" s="288"/>
      <c r="D17" s="288"/>
      <c r="E17" s="288"/>
      <c r="F17" s="288"/>
      <c r="G17" s="288"/>
      <c r="H17" s="288"/>
      <c r="I17" s="288"/>
      <c r="J17" s="297"/>
    </row>
    <row r="18" spans="1:11" ht="14" customHeight="1" x14ac:dyDescent="0.2">
      <c r="B18" s="296"/>
      <c r="C18" s="288"/>
      <c r="D18" s="288"/>
      <c r="E18" s="288"/>
      <c r="F18" s="288"/>
      <c r="G18" s="288"/>
      <c r="H18" s="288"/>
      <c r="I18" s="288"/>
      <c r="J18" s="297"/>
    </row>
    <row r="19" spans="1:11" ht="14" x14ac:dyDescent="0.2">
      <c r="B19" s="296"/>
      <c r="C19" s="288"/>
      <c r="D19" s="288"/>
      <c r="E19" s="288"/>
      <c r="F19" s="288"/>
      <c r="G19" s="288"/>
      <c r="H19" s="288"/>
      <c r="I19" s="288"/>
      <c r="J19" s="297"/>
    </row>
    <row r="20" spans="1:11" ht="14" x14ac:dyDescent="0.2">
      <c r="B20" s="296"/>
      <c r="C20" s="288"/>
      <c r="D20" s="288"/>
      <c r="E20" s="288"/>
      <c r="F20" s="288"/>
      <c r="G20" s="288"/>
      <c r="H20" s="288"/>
      <c r="I20" s="288"/>
      <c r="J20" s="297"/>
    </row>
    <row r="21" spans="1:11" ht="8.25" customHeight="1" x14ac:dyDescent="0.2">
      <c r="B21" s="93"/>
      <c r="D21" s="22"/>
      <c r="F21" s="22"/>
      <c r="G21" s="97"/>
      <c r="H21" s="22"/>
      <c r="I21" s="22"/>
      <c r="J21" s="94"/>
    </row>
    <row r="22" spans="1:11" ht="33" thickBot="1" x14ac:dyDescent="0.25">
      <c r="A22" s="28"/>
      <c r="B22" s="128"/>
      <c r="C22" s="129" t="s">
        <v>100</v>
      </c>
      <c r="D22" s="28"/>
      <c r="E22" s="130" t="s">
        <v>442</v>
      </c>
      <c r="F22" s="28"/>
      <c r="G22" s="130" t="s">
        <v>102</v>
      </c>
      <c r="H22" s="28"/>
      <c r="I22" s="129" t="s">
        <v>443</v>
      </c>
      <c r="J22" s="131"/>
      <c r="K22" s="28"/>
    </row>
    <row r="23" spans="1:11" ht="66.75" customHeight="1" x14ac:dyDescent="0.2">
      <c r="B23" s="93"/>
      <c r="C23" s="380" t="s">
        <v>444</v>
      </c>
      <c r="D23" s="459" t="s">
        <v>104</v>
      </c>
      <c r="E23" s="539"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369" t="s">
        <v>106</v>
      </c>
      <c r="G23" s="370"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336" t="s">
        <v>20</v>
      </c>
      <c r="I23" s="530" t="s">
        <v>445</v>
      </c>
      <c r="J23" s="94"/>
    </row>
    <row r="24" spans="1:11" ht="66.75" customHeight="1" x14ac:dyDescent="0.2">
      <c r="B24" s="93"/>
      <c r="C24" s="534"/>
      <c r="D24" s="283"/>
      <c r="E24" s="540"/>
      <c r="F24" s="283"/>
      <c r="G24" s="371"/>
      <c r="H24" s="283"/>
      <c r="I24" s="531"/>
      <c r="J24" s="94"/>
    </row>
    <row r="25" spans="1:11" ht="66.75" customHeight="1" x14ac:dyDescent="0.2">
      <c r="B25" s="93"/>
      <c r="C25" s="534"/>
      <c r="D25" s="283"/>
      <c r="E25" s="540"/>
      <c r="F25" s="283"/>
      <c r="G25" s="371"/>
      <c r="H25" s="283"/>
      <c r="I25" s="531"/>
      <c r="J25" s="94"/>
    </row>
    <row r="26" spans="1:11" ht="66.75" customHeight="1" x14ac:dyDescent="0.2">
      <c r="B26" s="93"/>
      <c r="C26" s="534"/>
      <c r="D26" s="283"/>
      <c r="E26" s="540"/>
      <c r="F26" s="283"/>
      <c r="G26" s="371"/>
      <c r="H26" s="283"/>
      <c r="I26" s="531"/>
      <c r="J26" s="94"/>
    </row>
    <row r="27" spans="1:11" ht="66.75" customHeight="1" x14ac:dyDescent="0.2">
      <c r="B27" s="93"/>
      <c r="C27" s="534"/>
      <c r="D27" s="283"/>
      <c r="E27" s="540"/>
      <c r="F27" s="283"/>
      <c r="G27" s="371"/>
      <c r="H27" s="283"/>
      <c r="I27" s="531"/>
      <c r="J27" s="94"/>
    </row>
    <row r="28" spans="1:11" ht="66.75" customHeight="1" x14ac:dyDescent="0.2">
      <c r="B28" s="93"/>
      <c r="C28" s="534"/>
      <c r="D28" s="283"/>
      <c r="E28" s="540"/>
      <c r="F28" s="283"/>
      <c r="G28" s="371"/>
      <c r="H28" s="283"/>
      <c r="I28" s="531"/>
      <c r="J28" s="94"/>
    </row>
    <row r="29" spans="1:11" ht="66.75" customHeight="1" x14ac:dyDescent="0.2">
      <c r="B29" s="93"/>
      <c r="C29" s="534"/>
      <c r="D29" s="283"/>
      <c r="E29" s="540"/>
      <c r="F29" s="283"/>
      <c r="G29" s="371"/>
      <c r="H29" s="283"/>
      <c r="I29" s="531"/>
      <c r="J29" s="94"/>
    </row>
    <row r="30" spans="1:11" ht="66.75" customHeight="1" x14ac:dyDescent="0.2">
      <c r="B30" s="93"/>
      <c r="C30" s="534"/>
      <c r="D30" s="283"/>
      <c r="E30" s="540"/>
      <c r="F30" s="283"/>
      <c r="G30" s="371"/>
      <c r="H30" s="283"/>
      <c r="I30" s="531"/>
      <c r="J30" s="94"/>
    </row>
    <row r="31" spans="1:11" ht="66.75" customHeight="1" x14ac:dyDescent="0.2">
      <c r="B31" s="93"/>
      <c r="C31" s="534"/>
      <c r="D31" s="283"/>
      <c r="E31" s="540"/>
      <c r="F31" s="283"/>
      <c r="G31" s="371"/>
      <c r="H31" s="283"/>
      <c r="I31" s="531"/>
      <c r="J31" s="94"/>
    </row>
    <row r="32" spans="1:11" ht="66.75" customHeight="1" x14ac:dyDescent="0.2">
      <c r="B32" s="93"/>
      <c r="C32" s="534"/>
      <c r="D32" s="283"/>
      <c r="E32" s="540"/>
      <c r="F32" s="283"/>
      <c r="G32" s="371"/>
      <c r="H32" s="283"/>
      <c r="I32" s="531"/>
      <c r="J32" s="94"/>
    </row>
    <row r="33" spans="1:11" ht="66.75" customHeight="1" thickBot="1" x14ac:dyDescent="0.25">
      <c r="B33" s="93"/>
      <c r="C33" s="535"/>
      <c r="D33" s="283"/>
      <c r="E33" s="541"/>
      <c r="F33" s="283"/>
      <c r="G33" s="372"/>
      <c r="H33" s="283"/>
      <c r="I33" s="532"/>
      <c r="J33" s="94"/>
    </row>
    <row r="34" spans="1:11" ht="15.75" customHeight="1" x14ac:dyDescent="0.2">
      <c r="B34" s="93"/>
      <c r="C34" s="37"/>
      <c r="D34" s="12"/>
      <c r="E34" s="97"/>
      <c r="F34" s="22"/>
      <c r="G34" s="97"/>
      <c r="H34" s="22"/>
      <c r="I34" s="97"/>
      <c r="J34" s="94"/>
    </row>
    <row r="35" spans="1:11" ht="14" customHeight="1" x14ac:dyDescent="0.2">
      <c r="B35" s="296" t="s">
        <v>446</v>
      </c>
      <c r="C35" s="291"/>
      <c r="D35" s="291"/>
      <c r="E35" s="291"/>
      <c r="F35" s="291"/>
      <c r="G35" s="291"/>
      <c r="H35" s="291"/>
      <c r="I35" s="291"/>
      <c r="J35" s="542"/>
    </row>
    <row r="36" spans="1:11" ht="15" customHeight="1" x14ac:dyDescent="0.2">
      <c r="B36" s="543"/>
      <c r="C36" s="291"/>
      <c r="D36" s="291"/>
      <c r="E36" s="291"/>
      <c r="F36" s="291"/>
      <c r="G36" s="291"/>
      <c r="H36" s="291"/>
      <c r="I36" s="291"/>
      <c r="J36" s="542"/>
    </row>
    <row r="37" spans="1:11" ht="8.25" customHeight="1" x14ac:dyDescent="0.2">
      <c r="B37" s="93"/>
      <c r="D37" s="22"/>
      <c r="F37" s="22"/>
      <c r="G37" s="97"/>
      <c r="H37" s="22"/>
      <c r="I37" s="22"/>
      <c r="J37" s="94"/>
    </row>
    <row r="38" spans="1:11" ht="33" thickBot="1" x14ac:dyDescent="0.25">
      <c r="A38" s="37"/>
      <c r="B38" s="90"/>
      <c r="C38" s="130" t="s">
        <v>100</v>
      </c>
      <c r="D38" s="37"/>
      <c r="E38" s="130" t="s">
        <v>447</v>
      </c>
      <c r="F38" s="37"/>
      <c r="G38" s="130" t="s">
        <v>102</v>
      </c>
      <c r="H38" s="37"/>
      <c r="I38" s="130" t="s">
        <v>443</v>
      </c>
      <c r="J38" s="91"/>
      <c r="K38" s="37"/>
    </row>
    <row r="39" spans="1:11" ht="54" customHeight="1" x14ac:dyDescent="0.2">
      <c r="B39" s="93"/>
      <c r="C39" s="380" t="s">
        <v>444</v>
      </c>
      <c r="D39" s="459" t="s">
        <v>104</v>
      </c>
      <c r="E39" s="536"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369" t="s">
        <v>106</v>
      </c>
      <c r="G39" s="370"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336" t="s">
        <v>20</v>
      </c>
      <c r="I39" s="530" t="s">
        <v>448</v>
      </c>
      <c r="J39" s="94"/>
    </row>
    <row r="40" spans="1:11" ht="54" customHeight="1" x14ac:dyDescent="0.2">
      <c r="B40" s="93"/>
      <c r="C40" s="534"/>
      <c r="D40" s="283"/>
      <c r="E40" s="312"/>
      <c r="F40" s="283"/>
      <c r="G40" s="371"/>
      <c r="H40" s="283"/>
      <c r="I40" s="531"/>
      <c r="J40" s="94"/>
    </row>
    <row r="41" spans="1:11" ht="54" customHeight="1" x14ac:dyDescent="0.2">
      <c r="B41" s="93"/>
      <c r="C41" s="534"/>
      <c r="D41" s="283"/>
      <c r="E41" s="312"/>
      <c r="F41" s="283"/>
      <c r="G41" s="371"/>
      <c r="H41" s="283"/>
      <c r="I41" s="531"/>
      <c r="J41" s="94"/>
    </row>
    <row r="42" spans="1:11" ht="54" customHeight="1" x14ac:dyDescent="0.2">
      <c r="B42" s="93"/>
      <c r="C42" s="534"/>
      <c r="D42" s="283"/>
      <c r="E42" s="312"/>
      <c r="F42" s="283"/>
      <c r="G42" s="371"/>
      <c r="H42" s="283"/>
      <c r="I42" s="531"/>
      <c r="J42" s="94"/>
    </row>
    <row r="43" spans="1:11" ht="54" customHeight="1" x14ac:dyDescent="0.2">
      <c r="B43" s="93"/>
      <c r="C43" s="534"/>
      <c r="D43" s="283"/>
      <c r="E43" s="312"/>
      <c r="F43" s="283"/>
      <c r="G43" s="371"/>
      <c r="H43" s="283"/>
      <c r="I43" s="531"/>
      <c r="J43" s="94"/>
    </row>
    <row r="44" spans="1:11" ht="54" customHeight="1" x14ac:dyDescent="0.2">
      <c r="B44" s="93"/>
      <c r="C44" s="534"/>
      <c r="D44" s="283"/>
      <c r="E44" s="312"/>
      <c r="F44" s="283"/>
      <c r="G44" s="371"/>
      <c r="H44" s="283"/>
      <c r="I44" s="531"/>
      <c r="J44" s="94"/>
    </row>
    <row r="45" spans="1:11" ht="54" customHeight="1" x14ac:dyDescent="0.2">
      <c r="B45" s="93"/>
      <c r="C45" s="534"/>
      <c r="D45" s="283"/>
      <c r="E45" s="312"/>
      <c r="F45" s="283"/>
      <c r="G45" s="371"/>
      <c r="H45" s="283"/>
      <c r="I45" s="531"/>
      <c r="J45" s="94"/>
    </row>
    <row r="46" spans="1:11" ht="54" customHeight="1" x14ac:dyDescent="0.2">
      <c r="B46" s="93"/>
      <c r="C46" s="534"/>
      <c r="D46" s="283"/>
      <c r="E46" s="312"/>
      <c r="F46" s="283"/>
      <c r="G46" s="371"/>
      <c r="H46" s="283"/>
      <c r="I46" s="531"/>
      <c r="J46" s="94"/>
    </row>
    <row r="47" spans="1:11" ht="54" customHeight="1" x14ac:dyDescent="0.2">
      <c r="B47" s="93"/>
      <c r="C47" s="534"/>
      <c r="D47" s="283"/>
      <c r="E47" s="312"/>
      <c r="F47" s="283"/>
      <c r="G47" s="371"/>
      <c r="H47" s="283"/>
      <c r="I47" s="531"/>
      <c r="J47" s="94"/>
    </row>
    <row r="48" spans="1:11" ht="54" customHeight="1" x14ac:dyDescent="0.2">
      <c r="B48" s="93"/>
      <c r="C48" s="534"/>
      <c r="D48" s="283"/>
      <c r="E48" s="312"/>
      <c r="F48" s="283"/>
      <c r="G48" s="371"/>
      <c r="H48" s="283"/>
      <c r="I48" s="531"/>
      <c r="J48" s="94"/>
    </row>
    <row r="49" spans="1:11" ht="54" customHeight="1" x14ac:dyDescent="0.2">
      <c r="B49" s="93"/>
      <c r="C49" s="534"/>
      <c r="D49" s="283"/>
      <c r="E49" s="312"/>
      <c r="F49" s="283"/>
      <c r="G49" s="371"/>
      <c r="H49" s="283"/>
      <c r="I49" s="531"/>
      <c r="J49" s="94"/>
    </row>
    <row r="50" spans="1:11" ht="54" customHeight="1" x14ac:dyDescent="0.2">
      <c r="B50" s="93"/>
      <c r="C50" s="534"/>
      <c r="D50" s="283"/>
      <c r="E50" s="312"/>
      <c r="F50" s="283"/>
      <c r="G50" s="371"/>
      <c r="H50" s="283"/>
      <c r="I50" s="531"/>
      <c r="J50" s="94"/>
    </row>
    <row r="51" spans="1:11" ht="54" customHeight="1" thickBot="1" x14ac:dyDescent="0.25">
      <c r="B51" s="93"/>
      <c r="C51" s="535"/>
      <c r="D51" s="283"/>
      <c r="E51" s="313"/>
      <c r="F51" s="283"/>
      <c r="G51" s="372"/>
      <c r="H51" s="283"/>
      <c r="I51" s="532"/>
      <c r="J51" s="94"/>
    </row>
    <row r="52" spans="1:11" ht="15.75" customHeight="1" x14ac:dyDescent="0.2">
      <c r="B52" s="93"/>
      <c r="D52" s="22"/>
      <c r="F52" s="22"/>
      <c r="G52" s="97"/>
      <c r="H52" s="22"/>
      <c r="I52" s="22"/>
      <c r="J52" s="94"/>
    </row>
    <row r="53" spans="1:11" ht="14" x14ac:dyDescent="0.2">
      <c r="B53" s="351" t="s">
        <v>449</v>
      </c>
      <c r="C53" s="283"/>
      <c r="D53" s="283"/>
      <c r="E53" s="283"/>
      <c r="F53" s="283"/>
      <c r="G53" s="283"/>
      <c r="H53" s="283"/>
      <c r="I53" s="283"/>
      <c r="J53" s="284"/>
    </row>
    <row r="54" spans="1:11" ht="11.25" customHeight="1" x14ac:dyDescent="0.2">
      <c r="B54" s="93"/>
      <c r="D54" s="22"/>
      <c r="F54" s="22"/>
      <c r="G54" s="97"/>
      <c r="H54" s="22"/>
      <c r="I54" s="22"/>
      <c r="J54" s="94"/>
    </row>
    <row r="55" spans="1:11" ht="14" customHeight="1" x14ac:dyDescent="0.2">
      <c r="B55" s="296" t="s">
        <v>450</v>
      </c>
      <c r="C55" s="288"/>
      <c r="D55" s="288"/>
      <c r="E55" s="288"/>
      <c r="F55" s="288"/>
      <c r="G55" s="288"/>
      <c r="H55" s="288"/>
      <c r="I55" s="288"/>
      <c r="J55" s="297"/>
    </row>
    <row r="56" spans="1:11" ht="14" x14ac:dyDescent="0.2">
      <c r="B56" s="296"/>
      <c r="C56" s="288"/>
      <c r="D56" s="288"/>
      <c r="E56" s="288"/>
      <c r="F56" s="288"/>
      <c r="G56" s="288"/>
      <c r="H56" s="288"/>
      <c r="I56" s="288"/>
      <c r="J56" s="297"/>
    </row>
    <row r="57" spans="1:11" ht="8.25" customHeight="1" x14ac:dyDescent="0.2">
      <c r="B57" s="93"/>
      <c r="D57" s="22"/>
      <c r="F57" s="22"/>
      <c r="G57" s="97"/>
      <c r="H57" s="22"/>
      <c r="I57" s="22"/>
      <c r="J57" s="94"/>
    </row>
    <row r="58" spans="1:11" ht="15" x14ac:dyDescent="0.2">
      <c r="A58" s="28"/>
      <c r="B58" s="128"/>
      <c r="C58" s="129" t="s">
        <v>17</v>
      </c>
      <c r="D58" s="28"/>
      <c r="E58" s="129"/>
      <c r="F58" s="28"/>
      <c r="G58" s="517" t="s">
        <v>451</v>
      </c>
      <c r="H58" s="283"/>
      <c r="I58" s="283"/>
      <c r="J58" s="131"/>
      <c r="K58" s="28"/>
    </row>
    <row r="59" spans="1:11" ht="49.5" customHeight="1" x14ac:dyDescent="0.2">
      <c r="B59" s="93"/>
      <c r="C59" s="451" t="s">
        <v>452</v>
      </c>
      <c r="D59" s="452"/>
      <c r="E59" s="453"/>
      <c r="F59" s="336" t="s">
        <v>20</v>
      </c>
      <c r="G59" s="500" t="s">
        <v>453</v>
      </c>
      <c r="H59" s="537"/>
      <c r="I59" s="501"/>
      <c r="J59" s="94"/>
    </row>
    <row r="60" spans="1:11" ht="49.5" customHeight="1" x14ac:dyDescent="0.2">
      <c r="B60" s="93"/>
      <c r="C60" s="454"/>
      <c r="D60" s="455"/>
      <c r="E60" s="456"/>
      <c r="F60" s="283"/>
      <c r="G60" s="504"/>
      <c r="H60" s="538"/>
      <c r="I60" s="505"/>
      <c r="J60" s="94"/>
    </row>
    <row r="61" spans="1:11" ht="8.25" customHeight="1" x14ac:dyDescent="0.2">
      <c r="B61" s="93"/>
      <c r="D61" s="22"/>
      <c r="F61" s="22"/>
      <c r="G61" s="97"/>
      <c r="H61" s="22"/>
      <c r="I61" s="22"/>
      <c r="J61" s="94"/>
    </row>
    <row r="62" spans="1:11" ht="17" thickBot="1" x14ac:dyDescent="0.25">
      <c r="A62" s="28"/>
      <c r="B62" s="128"/>
      <c r="C62" s="129" t="s">
        <v>100</v>
      </c>
      <c r="D62" s="28"/>
      <c r="E62" s="129" t="s">
        <v>454</v>
      </c>
      <c r="F62" s="28"/>
      <c r="G62" s="130" t="s">
        <v>102</v>
      </c>
      <c r="H62" s="28"/>
      <c r="I62" s="129" t="s">
        <v>455</v>
      </c>
      <c r="J62" s="131"/>
      <c r="K62" s="28"/>
    </row>
    <row r="63" spans="1:11" ht="66.75" customHeight="1" x14ac:dyDescent="0.2">
      <c r="B63" s="93"/>
      <c r="C63" s="380" t="s">
        <v>456</v>
      </c>
      <c r="D63" s="459" t="s">
        <v>104</v>
      </c>
      <c r="E63" s="536"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369" t="s">
        <v>106</v>
      </c>
      <c r="G63" s="370"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336" t="s">
        <v>20</v>
      </c>
      <c r="I63" s="530" t="s">
        <v>457</v>
      </c>
      <c r="J63" s="94"/>
    </row>
    <row r="64" spans="1:11" ht="66.75" customHeight="1" x14ac:dyDescent="0.2">
      <c r="B64" s="93"/>
      <c r="C64" s="534"/>
      <c r="D64" s="283"/>
      <c r="E64" s="312"/>
      <c r="F64" s="283"/>
      <c r="G64" s="371"/>
      <c r="H64" s="283"/>
      <c r="I64" s="531"/>
      <c r="J64" s="94"/>
    </row>
    <row r="65" spans="1:11" ht="66.75" customHeight="1" x14ac:dyDescent="0.2">
      <c r="B65" s="93"/>
      <c r="C65" s="534"/>
      <c r="D65" s="283"/>
      <c r="E65" s="312"/>
      <c r="F65" s="283"/>
      <c r="G65" s="371"/>
      <c r="H65" s="283"/>
      <c r="I65" s="531"/>
      <c r="J65" s="94"/>
    </row>
    <row r="66" spans="1:11" ht="66.75" customHeight="1" thickBot="1" x14ac:dyDescent="0.25">
      <c r="B66" s="93"/>
      <c r="C66" s="535"/>
      <c r="D66" s="283"/>
      <c r="E66" s="313"/>
      <c r="F66" s="283"/>
      <c r="G66" s="372"/>
      <c r="H66" s="283"/>
      <c r="I66" s="532"/>
      <c r="J66" s="94"/>
    </row>
    <row r="67" spans="1:11" ht="15.75" customHeight="1" x14ac:dyDescent="0.2">
      <c r="B67" s="93"/>
      <c r="D67" s="22"/>
      <c r="F67" s="22"/>
      <c r="G67" s="97"/>
      <c r="H67" s="22"/>
      <c r="I67" s="22"/>
      <c r="J67" s="94"/>
    </row>
    <row r="68" spans="1:11" ht="14" x14ac:dyDescent="0.2">
      <c r="B68" s="351" t="s">
        <v>458</v>
      </c>
      <c r="C68" s="283"/>
      <c r="D68" s="283"/>
      <c r="E68" s="283"/>
      <c r="F68" s="283"/>
      <c r="G68" s="283"/>
      <c r="H68" s="283"/>
      <c r="I68" s="283"/>
      <c r="J68" s="284"/>
    </row>
    <row r="69" spans="1:11" ht="8.25" customHeight="1" x14ac:dyDescent="0.2">
      <c r="B69" s="93"/>
      <c r="D69" s="22"/>
      <c r="F69" s="22"/>
      <c r="G69" s="97"/>
      <c r="H69" s="22"/>
      <c r="I69" s="22"/>
      <c r="J69" s="94"/>
    </row>
    <row r="70" spans="1:11" ht="17" thickBot="1" x14ac:dyDescent="0.25">
      <c r="A70" s="28"/>
      <c r="B70" s="128"/>
      <c r="C70" s="129" t="s">
        <v>459</v>
      </c>
      <c r="D70" s="28"/>
      <c r="E70" s="129" t="s">
        <v>460</v>
      </c>
      <c r="F70" s="28"/>
      <c r="G70" s="130" t="s">
        <v>461</v>
      </c>
      <c r="H70" s="28"/>
      <c r="I70" s="129"/>
      <c r="J70" s="131"/>
      <c r="K70" s="28"/>
    </row>
    <row r="71" spans="1:11" ht="94.5" customHeight="1" thickBot="1" x14ac:dyDescent="0.25">
      <c r="B71" s="93"/>
      <c r="C71" s="533" t="s">
        <v>462</v>
      </c>
      <c r="D71" s="336" t="s">
        <v>20</v>
      </c>
      <c r="E71" s="387" t="s">
        <v>463</v>
      </c>
      <c r="F71" s="32" t="s">
        <v>104</v>
      </c>
      <c r="G71" s="189" t="s">
        <v>464</v>
      </c>
      <c r="I71" s="97"/>
      <c r="J71" s="94"/>
    </row>
    <row r="72" spans="1:11" ht="15.75" customHeight="1" x14ac:dyDescent="0.2">
      <c r="B72" s="93"/>
      <c r="C72" s="371"/>
      <c r="D72" s="283"/>
      <c r="E72" s="312"/>
      <c r="F72" s="22"/>
      <c r="G72" s="34" t="s">
        <v>106</v>
      </c>
      <c r="H72" s="22"/>
      <c r="I72" s="97"/>
      <c r="J72" s="94"/>
    </row>
    <row r="73" spans="1:11" ht="15.75" customHeight="1" x14ac:dyDescent="0.2">
      <c r="B73" s="90"/>
      <c r="C73" s="371"/>
      <c r="D73" s="283"/>
      <c r="E73" s="312"/>
      <c r="F73" s="37"/>
      <c r="G73" s="130" t="s">
        <v>465</v>
      </c>
      <c r="H73" s="37"/>
      <c r="I73" s="129" t="s">
        <v>466</v>
      </c>
      <c r="J73" s="91"/>
    </row>
    <row r="74" spans="1:11" ht="83.25" customHeight="1" x14ac:dyDescent="0.2">
      <c r="B74" s="90"/>
      <c r="C74" s="371"/>
      <c r="D74" s="283"/>
      <c r="E74" s="312"/>
      <c r="F74" s="37"/>
      <c r="G74" s="370" t="str">
        <f>SUBSTITUTE(G71,"{{NAMES}}",E71)</f>
        <v xml:space="preserve">
Human: Here is a list of names: &lt;names&gt;Jesse
Erin
Joey
Keisha
Mel
&lt;/names&gt; Please alphabetize the list.
Assistant:</v>
      </c>
      <c r="H74" s="12" t="s">
        <v>20</v>
      </c>
      <c r="I74" s="530" t="s">
        <v>467</v>
      </c>
      <c r="J74" s="91"/>
    </row>
    <row r="75" spans="1:11" ht="83.25" customHeight="1" x14ac:dyDescent="0.2">
      <c r="B75" s="90"/>
      <c r="C75" s="372"/>
      <c r="D75" s="283"/>
      <c r="E75" s="313"/>
      <c r="F75" s="37"/>
      <c r="G75" s="372"/>
      <c r="H75" s="12"/>
      <c r="I75" s="531"/>
      <c r="J75" s="91"/>
    </row>
    <row r="76" spans="1:11" ht="15.75" customHeight="1" thickBot="1" x14ac:dyDescent="0.25">
      <c r="B76" s="103"/>
      <c r="C76" s="40"/>
      <c r="D76" s="40"/>
      <c r="E76" s="40"/>
      <c r="F76" s="40"/>
      <c r="G76" s="40"/>
      <c r="H76" s="85"/>
      <c r="I76" s="85"/>
      <c r="J76" s="188"/>
    </row>
    <row r="77" spans="1:11" ht="33.75" customHeight="1" thickBot="1" x14ac:dyDescent="0.25">
      <c r="H77" s="22"/>
      <c r="I77" s="22"/>
    </row>
    <row r="78" spans="1:11" ht="29.25" customHeight="1" x14ac:dyDescent="0.2">
      <c r="B78" s="300" t="s">
        <v>14</v>
      </c>
      <c r="C78" s="301"/>
      <c r="D78" s="301"/>
      <c r="E78" s="301"/>
      <c r="F78" s="24"/>
      <c r="G78" s="127"/>
      <c r="H78" s="24"/>
      <c r="I78" s="302"/>
      <c r="J78" s="303"/>
    </row>
    <row r="79" spans="1:11" ht="14" customHeight="1" x14ac:dyDescent="0.2">
      <c r="B79" s="296" t="s">
        <v>35</v>
      </c>
      <c r="C79" s="288"/>
      <c r="D79" s="288"/>
      <c r="E79" s="288"/>
      <c r="F79" s="288"/>
      <c r="G79" s="288"/>
      <c r="H79" s="288"/>
      <c r="I79" s="288"/>
      <c r="J79" s="297"/>
    </row>
    <row r="80" spans="1:11" ht="14" customHeight="1" x14ac:dyDescent="0.2">
      <c r="B80" s="296"/>
      <c r="C80" s="288"/>
      <c r="D80" s="288"/>
      <c r="E80" s="288"/>
      <c r="F80" s="288"/>
      <c r="G80" s="288"/>
      <c r="H80" s="288"/>
      <c r="I80" s="288"/>
      <c r="J80" s="297"/>
    </row>
    <row r="81" spans="1:11" ht="14" x14ac:dyDescent="0.2">
      <c r="B81" s="296"/>
      <c r="C81" s="288"/>
      <c r="D81" s="288"/>
      <c r="E81" s="288"/>
      <c r="F81" s="288"/>
      <c r="G81" s="288"/>
      <c r="H81" s="288"/>
      <c r="I81" s="288"/>
      <c r="J81" s="297"/>
    </row>
    <row r="82" spans="1:11" ht="8.25" customHeight="1" x14ac:dyDescent="0.2">
      <c r="B82" s="93"/>
      <c r="D82" s="22"/>
      <c r="F82" s="22"/>
      <c r="G82" s="97"/>
      <c r="H82" s="22"/>
      <c r="I82" s="22"/>
      <c r="J82" s="94"/>
    </row>
    <row r="83" spans="1:11" ht="16" x14ac:dyDescent="0.2">
      <c r="A83" s="28"/>
      <c r="B83" s="128"/>
      <c r="D83" s="28"/>
      <c r="E83" s="129" t="s">
        <v>17</v>
      </c>
      <c r="F83" s="28"/>
      <c r="G83" s="130" t="s">
        <v>440</v>
      </c>
      <c r="H83" s="28"/>
      <c r="I83" s="129"/>
      <c r="J83" s="131"/>
      <c r="K83" s="28"/>
    </row>
    <row r="84" spans="1:11" ht="137" customHeight="1" x14ac:dyDescent="0.2">
      <c r="B84" s="93"/>
      <c r="D84" s="97"/>
      <c r="E84" s="529" t="s">
        <v>441</v>
      </c>
      <c r="F84" s="336" t="s">
        <v>20</v>
      </c>
      <c r="G84" s="399" t="s">
        <v>593</v>
      </c>
      <c r="H84" s="400"/>
      <c r="I84" s="401"/>
      <c r="J84" s="94"/>
    </row>
    <row r="85" spans="1:11" ht="116" customHeight="1" x14ac:dyDescent="0.2">
      <c r="B85" s="93"/>
      <c r="D85" s="97"/>
      <c r="E85" s="529"/>
      <c r="F85" s="283"/>
      <c r="G85" s="526"/>
      <c r="H85" s="527"/>
      <c r="I85" s="528"/>
      <c r="J85" s="94"/>
    </row>
    <row r="86" spans="1:11" ht="137" customHeight="1" x14ac:dyDescent="0.2">
      <c r="B86" s="93"/>
      <c r="D86" s="97"/>
      <c r="E86" s="529"/>
      <c r="F86" s="283"/>
      <c r="G86" s="519"/>
      <c r="H86" s="520"/>
      <c r="I86" s="521"/>
      <c r="J86" s="94"/>
    </row>
    <row r="87" spans="1:11" ht="8.25" customHeight="1" x14ac:dyDescent="0.2">
      <c r="B87" s="93"/>
      <c r="D87" s="22"/>
      <c r="F87" s="22"/>
      <c r="G87" s="97"/>
      <c r="H87" s="22"/>
      <c r="I87" s="22"/>
      <c r="J87" s="94"/>
    </row>
    <row r="88" spans="1:11" ht="33" thickBot="1" x14ac:dyDescent="0.25">
      <c r="A88" s="28"/>
      <c r="B88" s="128"/>
      <c r="C88" s="129" t="s">
        <v>100</v>
      </c>
      <c r="D88" s="28"/>
      <c r="E88" s="130" t="s">
        <v>442</v>
      </c>
      <c r="F88" s="28"/>
      <c r="G88" s="130" t="s">
        <v>102</v>
      </c>
      <c r="H88" s="28"/>
      <c r="I88" s="129" t="s">
        <v>443</v>
      </c>
      <c r="J88" s="131"/>
      <c r="K88" s="28"/>
    </row>
    <row r="89" spans="1:11" ht="66.75" customHeight="1" x14ac:dyDescent="0.2">
      <c r="B89" s="93"/>
      <c r="C89" s="366" t="s">
        <v>444</v>
      </c>
      <c r="D89" s="459" t="s">
        <v>104</v>
      </c>
      <c r="E89" s="522"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369" t="s">
        <v>106</v>
      </c>
      <c r="G89" s="508"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336" t="s">
        <v>20</v>
      </c>
      <c r="I89" s="373" t="s">
        <v>445</v>
      </c>
      <c r="J89" s="94"/>
    </row>
    <row r="90" spans="1:11" ht="66.75" customHeight="1" x14ac:dyDescent="0.2">
      <c r="B90" s="93"/>
      <c r="C90" s="367"/>
      <c r="D90" s="283"/>
      <c r="E90" s="374"/>
      <c r="F90" s="283"/>
      <c r="G90" s="523"/>
      <c r="H90" s="283"/>
      <c r="I90" s="374"/>
      <c r="J90" s="94"/>
    </row>
    <row r="91" spans="1:11" ht="66.75" customHeight="1" x14ac:dyDescent="0.2">
      <c r="B91" s="93"/>
      <c r="C91" s="367"/>
      <c r="D91" s="283"/>
      <c r="E91" s="374"/>
      <c r="F91" s="283"/>
      <c r="G91" s="523"/>
      <c r="H91" s="283"/>
      <c r="I91" s="374"/>
      <c r="J91" s="94"/>
    </row>
    <row r="92" spans="1:11" ht="66.75" customHeight="1" x14ac:dyDescent="0.2">
      <c r="B92" s="93"/>
      <c r="C92" s="367"/>
      <c r="D92" s="283"/>
      <c r="E92" s="374"/>
      <c r="F92" s="283"/>
      <c r="G92" s="523"/>
      <c r="H92" s="283"/>
      <c r="I92" s="374"/>
      <c r="J92" s="94"/>
    </row>
    <row r="93" spans="1:11" ht="66.75" customHeight="1" x14ac:dyDescent="0.2">
      <c r="B93" s="93"/>
      <c r="C93" s="367"/>
      <c r="D93" s="283"/>
      <c r="E93" s="374"/>
      <c r="F93" s="283"/>
      <c r="G93" s="523"/>
      <c r="H93" s="283"/>
      <c r="I93" s="374"/>
      <c r="J93" s="94"/>
    </row>
    <row r="94" spans="1:11" ht="66.75" customHeight="1" x14ac:dyDescent="0.2">
      <c r="B94" s="93"/>
      <c r="C94" s="367"/>
      <c r="D94" s="283"/>
      <c r="E94" s="374"/>
      <c r="F94" s="283"/>
      <c r="G94" s="523"/>
      <c r="H94" s="283"/>
      <c r="I94" s="374"/>
      <c r="J94" s="94"/>
    </row>
    <row r="95" spans="1:11" ht="66.75" customHeight="1" x14ac:dyDescent="0.2">
      <c r="B95" s="93"/>
      <c r="C95" s="367"/>
      <c r="D95" s="283"/>
      <c r="E95" s="374"/>
      <c r="F95" s="283"/>
      <c r="G95" s="523"/>
      <c r="H95" s="283"/>
      <c r="I95" s="374"/>
      <c r="J95" s="94"/>
    </row>
    <row r="96" spans="1:11" ht="66.75" customHeight="1" x14ac:dyDescent="0.2">
      <c r="B96" s="93"/>
      <c r="C96" s="367"/>
      <c r="D96" s="283"/>
      <c r="E96" s="374"/>
      <c r="F96" s="283"/>
      <c r="G96" s="523"/>
      <c r="H96" s="283"/>
      <c r="I96" s="374"/>
      <c r="J96" s="94"/>
    </row>
    <row r="97" spans="1:11" ht="66.75" customHeight="1" x14ac:dyDescent="0.2">
      <c r="B97" s="93"/>
      <c r="C97" s="367"/>
      <c r="D97" s="283"/>
      <c r="E97" s="374"/>
      <c r="F97" s="283"/>
      <c r="G97" s="523"/>
      <c r="H97" s="283"/>
      <c r="I97" s="374"/>
      <c r="J97" s="94"/>
    </row>
    <row r="98" spans="1:11" ht="66.75" customHeight="1" x14ac:dyDescent="0.2">
      <c r="B98" s="93"/>
      <c r="C98" s="367"/>
      <c r="D98" s="283"/>
      <c r="E98" s="374"/>
      <c r="F98" s="283"/>
      <c r="G98" s="523"/>
      <c r="H98" s="283"/>
      <c r="I98" s="374"/>
      <c r="J98" s="94"/>
    </row>
    <row r="99" spans="1:11" ht="66.75" customHeight="1" thickBot="1" x14ac:dyDescent="0.25">
      <c r="B99" s="93"/>
      <c r="C99" s="368"/>
      <c r="D99" s="283"/>
      <c r="E99" s="335"/>
      <c r="F99" s="283"/>
      <c r="G99" s="509"/>
      <c r="H99" s="283"/>
      <c r="I99" s="335"/>
      <c r="J99" s="94"/>
    </row>
    <row r="100" spans="1:11" ht="8.25" customHeight="1" x14ac:dyDescent="0.2">
      <c r="B100" s="93"/>
      <c r="D100" s="22"/>
      <c r="F100" s="22"/>
      <c r="G100" s="97"/>
      <c r="H100" s="22"/>
      <c r="I100" s="22"/>
      <c r="J100" s="94"/>
    </row>
    <row r="101" spans="1:11" ht="33" thickBot="1" x14ac:dyDescent="0.25">
      <c r="A101" s="28"/>
      <c r="B101" s="128"/>
      <c r="C101" s="129" t="s">
        <v>100</v>
      </c>
      <c r="D101" s="28"/>
      <c r="E101" s="130" t="s">
        <v>447</v>
      </c>
      <c r="F101" s="28"/>
      <c r="G101" s="130" t="s">
        <v>102</v>
      </c>
      <c r="H101" s="28"/>
      <c r="I101" s="129" t="s">
        <v>18</v>
      </c>
      <c r="J101" s="131"/>
      <c r="K101" s="28"/>
    </row>
    <row r="102" spans="1:11" ht="54" customHeight="1" x14ac:dyDescent="0.2">
      <c r="B102" s="93"/>
      <c r="C102" s="366" t="s">
        <v>444</v>
      </c>
      <c r="D102" s="459" t="s">
        <v>104</v>
      </c>
      <c r="E102" s="522"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369" t="s">
        <v>106</v>
      </c>
      <c r="G102" s="508"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336" t="s">
        <v>20</v>
      </c>
      <c r="I102" s="373" t="s">
        <v>448</v>
      </c>
      <c r="J102" s="94"/>
    </row>
    <row r="103" spans="1:11" ht="54" customHeight="1" x14ac:dyDescent="0.2">
      <c r="B103" s="93"/>
      <c r="C103" s="367"/>
      <c r="D103" s="283"/>
      <c r="E103" s="374"/>
      <c r="F103" s="283"/>
      <c r="G103" s="523"/>
      <c r="H103" s="283"/>
      <c r="I103" s="374"/>
      <c r="J103" s="94"/>
    </row>
    <row r="104" spans="1:11" ht="54" customHeight="1" x14ac:dyDescent="0.2">
      <c r="B104" s="93"/>
      <c r="C104" s="367"/>
      <c r="D104" s="283"/>
      <c r="E104" s="374"/>
      <c r="F104" s="283"/>
      <c r="G104" s="523"/>
      <c r="H104" s="283"/>
      <c r="I104" s="374"/>
      <c r="J104" s="94"/>
    </row>
    <row r="105" spans="1:11" ht="54" customHeight="1" x14ac:dyDescent="0.2">
      <c r="B105" s="93"/>
      <c r="C105" s="367"/>
      <c r="D105" s="283"/>
      <c r="E105" s="374"/>
      <c r="F105" s="283"/>
      <c r="G105" s="523"/>
      <c r="H105" s="283"/>
      <c r="I105" s="374"/>
      <c r="J105" s="94"/>
    </row>
    <row r="106" spans="1:11" ht="54" customHeight="1" x14ac:dyDescent="0.2">
      <c r="B106" s="93"/>
      <c r="C106" s="367"/>
      <c r="D106" s="283"/>
      <c r="E106" s="374"/>
      <c r="F106" s="283"/>
      <c r="G106" s="523"/>
      <c r="H106" s="283"/>
      <c r="I106" s="374"/>
      <c r="J106" s="94"/>
    </row>
    <row r="107" spans="1:11" ht="54" customHeight="1" x14ac:dyDescent="0.2">
      <c r="B107" s="93"/>
      <c r="C107" s="367"/>
      <c r="D107" s="283"/>
      <c r="E107" s="374"/>
      <c r="F107" s="283"/>
      <c r="G107" s="523"/>
      <c r="H107" s="283"/>
      <c r="I107" s="374"/>
      <c r="J107" s="94"/>
    </row>
    <row r="108" spans="1:11" ht="54" customHeight="1" x14ac:dyDescent="0.2">
      <c r="B108" s="93"/>
      <c r="C108" s="367"/>
      <c r="D108" s="283"/>
      <c r="E108" s="374"/>
      <c r="F108" s="283"/>
      <c r="G108" s="523"/>
      <c r="H108" s="283"/>
      <c r="I108" s="374"/>
      <c r="J108" s="94"/>
    </row>
    <row r="109" spans="1:11" ht="54" customHeight="1" x14ac:dyDescent="0.2">
      <c r="B109" s="93"/>
      <c r="C109" s="367"/>
      <c r="D109" s="283"/>
      <c r="E109" s="374"/>
      <c r="F109" s="283"/>
      <c r="G109" s="523"/>
      <c r="H109" s="283"/>
      <c r="I109" s="374"/>
      <c r="J109" s="94"/>
    </row>
    <row r="110" spans="1:11" ht="54" customHeight="1" x14ac:dyDescent="0.2">
      <c r="B110" s="93"/>
      <c r="C110" s="367"/>
      <c r="D110" s="283"/>
      <c r="E110" s="374"/>
      <c r="F110" s="283"/>
      <c r="G110" s="523"/>
      <c r="H110" s="283"/>
      <c r="I110" s="374"/>
      <c r="J110" s="94"/>
    </row>
    <row r="111" spans="1:11" ht="54" customHeight="1" x14ac:dyDescent="0.2">
      <c r="B111" s="93"/>
      <c r="C111" s="367"/>
      <c r="D111" s="283"/>
      <c r="E111" s="374"/>
      <c r="F111" s="283"/>
      <c r="G111" s="523"/>
      <c r="H111" s="283"/>
      <c r="I111" s="374"/>
      <c r="J111" s="94"/>
    </row>
    <row r="112" spans="1:11" ht="54" customHeight="1" x14ac:dyDescent="0.2">
      <c r="B112" s="93"/>
      <c r="C112" s="367"/>
      <c r="D112" s="283"/>
      <c r="E112" s="374"/>
      <c r="F112" s="283"/>
      <c r="G112" s="523"/>
      <c r="H112" s="283"/>
      <c r="I112" s="374"/>
      <c r="J112" s="94"/>
    </row>
    <row r="113" spans="1:11" ht="54" customHeight="1" x14ac:dyDescent="0.2">
      <c r="B113" s="93"/>
      <c r="C113" s="367"/>
      <c r="D113" s="283"/>
      <c r="E113" s="374"/>
      <c r="F113" s="283"/>
      <c r="G113" s="523"/>
      <c r="H113" s="283"/>
      <c r="I113" s="374"/>
      <c r="J113" s="94"/>
    </row>
    <row r="114" spans="1:11" ht="54" customHeight="1" thickBot="1" x14ac:dyDescent="0.25">
      <c r="B114" s="93"/>
      <c r="C114" s="368"/>
      <c r="D114" s="283"/>
      <c r="E114" s="335"/>
      <c r="F114" s="283"/>
      <c r="G114" s="509"/>
      <c r="H114" s="283"/>
      <c r="I114" s="335"/>
      <c r="J114" s="94"/>
    </row>
    <row r="115" spans="1:11" ht="8.25" customHeight="1" x14ac:dyDescent="0.2">
      <c r="B115" s="93"/>
      <c r="D115" s="22"/>
      <c r="F115" s="22"/>
      <c r="G115" s="97"/>
      <c r="H115" s="22"/>
      <c r="I115" s="22"/>
      <c r="J115" s="94"/>
    </row>
    <row r="116" spans="1:11" ht="15" x14ac:dyDescent="0.2">
      <c r="A116" s="28"/>
      <c r="B116" s="128"/>
      <c r="D116" s="28"/>
      <c r="E116" s="129" t="s">
        <v>17</v>
      </c>
      <c r="F116" s="28"/>
      <c r="G116" s="517" t="s">
        <v>451</v>
      </c>
      <c r="H116" s="283"/>
      <c r="I116" s="283"/>
      <c r="J116" s="131"/>
      <c r="K116" s="28"/>
    </row>
    <row r="117" spans="1:11" ht="49.5" customHeight="1" x14ac:dyDescent="0.2">
      <c r="B117" s="93"/>
      <c r="D117" s="112"/>
      <c r="E117" s="524" t="s">
        <v>452</v>
      </c>
      <c r="F117" s="336" t="s">
        <v>20</v>
      </c>
      <c r="G117" s="518" t="s">
        <v>590</v>
      </c>
      <c r="H117" s="400"/>
      <c r="I117" s="401"/>
      <c r="J117" s="94"/>
    </row>
    <row r="118" spans="1:11" ht="49.5" customHeight="1" x14ac:dyDescent="0.2">
      <c r="B118" s="93"/>
      <c r="C118" s="111"/>
      <c r="D118" s="112"/>
      <c r="E118" s="525"/>
      <c r="F118" s="283"/>
      <c r="G118" s="519"/>
      <c r="H118" s="520"/>
      <c r="I118" s="521"/>
      <c r="J118" s="94"/>
    </row>
    <row r="119" spans="1:11" ht="8.25" customHeight="1" x14ac:dyDescent="0.2">
      <c r="B119" s="93"/>
      <c r="D119" s="22"/>
      <c r="F119" s="22"/>
      <c r="G119" s="97"/>
      <c r="H119" s="22"/>
      <c r="I119" s="22"/>
      <c r="J119" s="94"/>
    </row>
    <row r="120" spans="1:11" ht="17" thickBot="1" x14ac:dyDescent="0.25">
      <c r="A120" s="28"/>
      <c r="B120" s="128"/>
      <c r="C120" s="129" t="s">
        <v>100</v>
      </c>
      <c r="D120" s="28"/>
      <c r="E120" s="129" t="s">
        <v>454</v>
      </c>
      <c r="F120" s="28"/>
      <c r="G120" s="130" t="s">
        <v>102</v>
      </c>
      <c r="H120" s="28"/>
      <c r="I120" s="129" t="s">
        <v>18</v>
      </c>
      <c r="J120" s="131"/>
      <c r="K120" s="28"/>
    </row>
    <row r="121" spans="1:11" ht="72" customHeight="1" x14ac:dyDescent="0.2">
      <c r="B121" s="93"/>
      <c r="C121" s="366" t="s">
        <v>468</v>
      </c>
      <c r="D121" s="459" t="s">
        <v>104</v>
      </c>
      <c r="E121" s="522"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369" t="s">
        <v>106</v>
      </c>
      <c r="G121" s="508"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336" t="s">
        <v>20</v>
      </c>
      <c r="I121" s="373" t="s">
        <v>457</v>
      </c>
      <c r="J121" s="94"/>
    </row>
    <row r="122" spans="1:11" ht="72" customHeight="1" x14ac:dyDescent="0.2">
      <c r="B122" s="93"/>
      <c r="C122" s="367"/>
      <c r="D122" s="283"/>
      <c r="E122" s="374"/>
      <c r="F122" s="283"/>
      <c r="G122" s="523"/>
      <c r="H122" s="283"/>
      <c r="I122" s="374"/>
      <c r="J122" s="94"/>
    </row>
    <row r="123" spans="1:11" ht="72" customHeight="1" x14ac:dyDescent="0.2">
      <c r="B123" s="93"/>
      <c r="C123" s="367"/>
      <c r="D123" s="283"/>
      <c r="E123" s="374"/>
      <c r="F123" s="283"/>
      <c r="G123" s="523"/>
      <c r="H123" s="283"/>
      <c r="I123" s="374"/>
      <c r="J123" s="94"/>
    </row>
    <row r="124" spans="1:11" ht="72" customHeight="1" thickBot="1" x14ac:dyDescent="0.25">
      <c r="B124" s="93"/>
      <c r="C124" s="368"/>
      <c r="D124" s="283"/>
      <c r="E124" s="335"/>
      <c r="F124" s="283"/>
      <c r="G124" s="509"/>
      <c r="H124" s="283"/>
      <c r="I124" s="335"/>
      <c r="J124" s="94"/>
    </row>
    <row r="125" spans="1:11" ht="8.25" customHeight="1" x14ac:dyDescent="0.2">
      <c r="B125" s="93"/>
      <c r="D125" s="22"/>
      <c r="F125" s="22"/>
      <c r="G125" s="97"/>
      <c r="H125" s="22"/>
      <c r="I125" s="22"/>
      <c r="J125" s="94"/>
    </row>
    <row r="126" spans="1:11" ht="17" thickBot="1" x14ac:dyDescent="0.25">
      <c r="A126" s="28"/>
      <c r="B126" s="128"/>
      <c r="D126" s="28"/>
      <c r="F126" s="28"/>
      <c r="G126" s="130" t="s">
        <v>461</v>
      </c>
      <c r="H126" s="28"/>
      <c r="I126" s="129" t="s">
        <v>466</v>
      </c>
      <c r="J126" s="131"/>
      <c r="K126" s="28"/>
    </row>
    <row r="127" spans="1:11" ht="94.5" customHeight="1" thickBot="1" x14ac:dyDescent="0.25">
      <c r="B127" s="93"/>
      <c r="C127" s="516" t="s">
        <v>459</v>
      </c>
      <c r="E127" s="516" t="s">
        <v>460</v>
      </c>
      <c r="F127" s="32" t="s">
        <v>104</v>
      </c>
      <c r="G127" s="228" t="s">
        <v>464</v>
      </c>
      <c r="I127" s="510" t="s">
        <v>589</v>
      </c>
      <c r="J127" s="94"/>
    </row>
    <row r="128" spans="1:11" ht="15.75" customHeight="1" x14ac:dyDescent="0.2">
      <c r="B128" s="93"/>
      <c r="C128" s="516"/>
      <c r="E128" s="516"/>
      <c r="F128" s="22"/>
      <c r="G128" s="34" t="s">
        <v>106</v>
      </c>
      <c r="H128" s="22"/>
      <c r="I128" s="511"/>
      <c r="J128" s="94"/>
    </row>
    <row r="129" spans="2:10" ht="15.75" customHeight="1" x14ac:dyDescent="0.2">
      <c r="B129" s="90"/>
      <c r="C129" s="111"/>
      <c r="E129" s="111"/>
      <c r="F129" s="37"/>
      <c r="G129" s="130" t="s">
        <v>465</v>
      </c>
      <c r="H129" s="37"/>
      <c r="I129" s="511"/>
      <c r="J129" s="91"/>
    </row>
    <row r="130" spans="2:10" ht="83.25" customHeight="1" x14ac:dyDescent="0.2">
      <c r="B130" s="90"/>
      <c r="C130" s="512" t="s">
        <v>462</v>
      </c>
      <c r="D130" s="386" t="s">
        <v>20</v>
      </c>
      <c r="E130" s="514" t="s">
        <v>463</v>
      </c>
      <c r="F130" s="37"/>
      <c r="G130" s="508" t="str">
        <f>SUBSTITUTE(G127,"{{NAMES}}",E130)</f>
        <v xml:space="preserve">
Human: Here is a list of names: &lt;names&gt;Jesse
Erin
Joey
Keisha
Mel
&lt;/names&gt; Please alphabetize the list.
Assistant:</v>
      </c>
      <c r="H130" s="12" t="s">
        <v>20</v>
      </c>
      <c r="I130" s="511"/>
      <c r="J130" s="91"/>
    </row>
    <row r="131" spans="2:10" ht="83.25" customHeight="1" x14ac:dyDescent="0.2">
      <c r="B131" s="90"/>
      <c r="C131" s="513"/>
      <c r="D131" s="386"/>
      <c r="E131" s="515"/>
      <c r="F131" s="37"/>
      <c r="G131" s="509"/>
      <c r="H131" s="12"/>
      <c r="I131" s="511"/>
      <c r="J131" s="91"/>
    </row>
    <row r="132" spans="2:10" ht="15.75" customHeight="1" thickBot="1" x14ac:dyDescent="0.25">
      <c r="B132" s="103"/>
      <c r="C132" s="133"/>
      <c r="D132" s="39"/>
      <c r="E132" s="118"/>
      <c r="F132" s="40"/>
      <c r="G132" s="118"/>
      <c r="H132" s="40"/>
      <c r="I132" s="118"/>
      <c r="J132" s="104"/>
    </row>
    <row r="133" spans="2:10" ht="14" x14ac:dyDescent="0.2">
      <c r="D133" s="22"/>
      <c r="F133" s="22"/>
      <c r="G133" s="97"/>
      <c r="H133" s="22"/>
      <c r="I133" s="22"/>
    </row>
    <row r="134" spans="2:10" ht="16" x14ac:dyDescent="0.2">
      <c r="B134" s="281" t="s">
        <v>469</v>
      </c>
      <c r="C134" s="281"/>
      <c r="D134" s="281"/>
      <c r="E134" s="281"/>
      <c r="G134" s="97"/>
      <c r="H134" s="22"/>
      <c r="I134" s="299" t="s">
        <v>470</v>
      </c>
      <c r="J134" s="281"/>
    </row>
    <row r="135" spans="2:10" ht="14" x14ac:dyDescent="0.2">
      <c r="G135" s="97"/>
      <c r="H135" s="22"/>
      <c r="I135" s="22"/>
    </row>
    <row r="136" spans="2:10" ht="16" x14ac:dyDescent="0.2">
      <c r="B136" s="280" t="s">
        <v>37</v>
      </c>
      <c r="C136" s="281"/>
      <c r="D136" s="281"/>
      <c r="E136" s="281"/>
      <c r="F136" s="281"/>
      <c r="G136" s="281"/>
      <c r="H136" s="281"/>
      <c r="I136" s="281"/>
      <c r="J136" s="281"/>
    </row>
    <row r="137" spans="2:10" ht="14" x14ac:dyDescent="0.2">
      <c r="D137" s="22"/>
      <c r="F137" s="22"/>
      <c r="G137" s="97"/>
      <c r="H137" s="22"/>
      <c r="I137" s="22"/>
    </row>
    <row r="138" spans="2:10" ht="14" x14ac:dyDescent="0.2">
      <c r="D138" s="22"/>
      <c r="F138" s="22"/>
      <c r="G138" s="97"/>
      <c r="H138" s="22"/>
      <c r="I138" s="22"/>
    </row>
    <row r="139" spans="2:10" ht="14" x14ac:dyDescent="0.2">
      <c r="D139" s="22"/>
      <c r="F139" s="22"/>
      <c r="G139" s="97"/>
      <c r="H139" s="22"/>
      <c r="I139" s="22"/>
    </row>
    <row r="140" spans="2:10" ht="14" x14ac:dyDescent="0.2">
      <c r="D140" s="22"/>
      <c r="F140" s="22"/>
      <c r="G140" s="97"/>
      <c r="H140" s="22"/>
      <c r="I140" s="22"/>
    </row>
  </sheetData>
  <sheetProtection algorithmName="SHA-512" hashValue="h0nJD0IK4YbBxMfd+BG9LTEGGEoQoia3b25uQaZJs7FPX5yfPvNFXywdJOO2wOzzO0ITJ764571Qwem/TvaP8g==" saltValue="mtailoB0P3Cg62hi9uMy4g==" spinCount="100000" sheet="1" objects="1" scenarios="1"/>
  <mergeCells count="86">
    <mergeCell ref="B16:J20"/>
    <mergeCell ref="B35:J36"/>
    <mergeCell ref="H23:H33"/>
    <mergeCell ref="I23:I33"/>
    <mergeCell ref="B1:G1"/>
    <mergeCell ref="B3:E3"/>
    <mergeCell ref="I3:J3"/>
    <mergeCell ref="B9:J9"/>
    <mergeCell ref="C12:E14"/>
    <mergeCell ref="F12:F14"/>
    <mergeCell ref="G12:I14"/>
    <mergeCell ref="B8:E8"/>
    <mergeCell ref="I8:J8"/>
    <mergeCell ref="B4:J6"/>
    <mergeCell ref="H39:H51"/>
    <mergeCell ref="I39:I51"/>
    <mergeCell ref="C23:C33"/>
    <mergeCell ref="D23:D33"/>
    <mergeCell ref="E23:E33"/>
    <mergeCell ref="F23:F33"/>
    <mergeCell ref="G23:G33"/>
    <mergeCell ref="C39:C51"/>
    <mergeCell ref="D39:D51"/>
    <mergeCell ref="E39:E51"/>
    <mergeCell ref="F39:F51"/>
    <mergeCell ref="G39:G51"/>
    <mergeCell ref="B53:J53"/>
    <mergeCell ref="G58:I58"/>
    <mergeCell ref="C59:E60"/>
    <mergeCell ref="F59:F60"/>
    <mergeCell ref="G59:I60"/>
    <mergeCell ref="B55:J56"/>
    <mergeCell ref="I63:I66"/>
    <mergeCell ref="B68:J68"/>
    <mergeCell ref="C71:C75"/>
    <mergeCell ref="D71:D75"/>
    <mergeCell ref="E71:E75"/>
    <mergeCell ref="G74:G75"/>
    <mergeCell ref="I74:I75"/>
    <mergeCell ref="C63:C66"/>
    <mergeCell ref="D63:D66"/>
    <mergeCell ref="E63:E66"/>
    <mergeCell ref="F63:F66"/>
    <mergeCell ref="G63:G66"/>
    <mergeCell ref="H63:H66"/>
    <mergeCell ref="B78:E78"/>
    <mergeCell ref="I78:J78"/>
    <mergeCell ref="F84:F86"/>
    <mergeCell ref="G84:I86"/>
    <mergeCell ref="B79:J81"/>
    <mergeCell ref="E84:E86"/>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G116:I116"/>
    <mergeCell ref="F117:F118"/>
    <mergeCell ref="G117:I118"/>
    <mergeCell ref="C121:C124"/>
    <mergeCell ref="D121:D124"/>
    <mergeCell ref="E121:E124"/>
    <mergeCell ref="F121:F124"/>
    <mergeCell ref="G121:G124"/>
    <mergeCell ref="H121:H124"/>
    <mergeCell ref="E117:E118"/>
    <mergeCell ref="B134:E134"/>
    <mergeCell ref="I134:J134"/>
    <mergeCell ref="B136:J136"/>
    <mergeCell ref="I121:I124"/>
    <mergeCell ref="G130:G131"/>
    <mergeCell ref="I127:I131"/>
    <mergeCell ref="C130:C131"/>
    <mergeCell ref="E130:E131"/>
    <mergeCell ref="D130:D131"/>
    <mergeCell ref="C127:C128"/>
    <mergeCell ref="E127:E128"/>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52" t="s">
        <v>471</v>
      </c>
      <c r="C1" s="283"/>
      <c r="D1" s="283"/>
      <c r="E1" s="283"/>
      <c r="F1" s="283"/>
      <c r="G1" s="283"/>
      <c r="H1" s="22"/>
      <c r="I1" s="22"/>
      <c r="J1" s="22"/>
      <c r="K1" s="22"/>
    </row>
    <row r="2" spans="1:11" ht="21.75" customHeight="1" thickBot="1" x14ac:dyDescent="0.25">
      <c r="D2" s="22"/>
      <c r="F2" s="22"/>
      <c r="G2" s="97"/>
      <c r="H2" s="22"/>
      <c r="I2" s="22"/>
    </row>
    <row r="3" spans="1:11" ht="29.25" customHeight="1" x14ac:dyDescent="0.2">
      <c r="A3" s="22"/>
      <c r="B3" s="300" t="s">
        <v>12</v>
      </c>
      <c r="C3" s="301"/>
      <c r="D3" s="301"/>
      <c r="E3" s="301"/>
      <c r="F3" s="24"/>
      <c r="G3" s="127"/>
      <c r="H3" s="24"/>
      <c r="I3" s="302"/>
      <c r="J3" s="303"/>
      <c r="K3" s="22"/>
    </row>
    <row r="4" spans="1:11" ht="14" customHeight="1" x14ac:dyDescent="0.2">
      <c r="B4" s="296" t="s">
        <v>591</v>
      </c>
      <c r="C4" s="288"/>
      <c r="D4" s="288"/>
      <c r="E4" s="288"/>
      <c r="F4" s="288"/>
      <c r="G4" s="288"/>
      <c r="H4" s="288"/>
      <c r="I4" s="288"/>
      <c r="J4" s="297"/>
    </row>
    <row r="5" spans="1:11" ht="14" customHeight="1" x14ac:dyDescent="0.2">
      <c r="B5" s="296"/>
      <c r="C5" s="288"/>
      <c r="D5" s="288"/>
      <c r="E5" s="288"/>
      <c r="F5" s="288"/>
      <c r="G5" s="288"/>
      <c r="H5" s="288"/>
      <c r="I5" s="288"/>
      <c r="J5" s="297"/>
    </row>
    <row r="6" spans="1:11" ht="14" customHeight="1" x14ac:dyDescent="0.2">
      <c r="B6" s="296"/>
      <c r="C6" s="288"/>
      <c r="D6" s="288"/>
      <c r="E6" s="288"/>
      <c r="F6" s="288"/>
      <c r="G6" s="288"/>
      <c r="H6" s="288"/>
      <c r="I6" s="288"/>
      <c r="J6" s="297"/>
    </row>
    <row r="7" spans="1:11" ht="15" customHeight="1" x14ac:dyDescent="0.2">
      <c r="B7" s="296"/>
      <c r="C7" s="288"/>
      <c r="D7" s="288"/>
      <c r="E7" s="288"/>
      <c r="F7" s="288"/>
      <c r="G7" s="288"/>
      <c r="H7" s="288"/>
      <c r="I7" s="288"/>
      <c r="J7" s="297"/>
    </row>
    <row r="8" spans="1:11" ht="15" customHeight="1" x14ac:dyDescent="0.2">
      <c r="B8" s="296"/>
      <c r="C8" s="288"/>
      <c r="D8" s="288"/>
      <c r="E8" s="288"/>
      <c r="F8" s="288"/>
      <c r="G8" s="288"/>
      <c r="H8" s="288"/>
      <c r="I8" s="288"/>
      <c r="J8" s="297"/>
    </row>
    <row r="9" spans="1:11" ht="11.25" customHeight="1" x14ac:dyDescent="0.2">
      <c r="B9" s="90"/>
      <c r="C9" s="37"/>
      <c r="D9" s="37"/>
      <c r="E9" s="37"/>
      <c r="F9" s="37"/>
      <c r="G9" s="37"/>
      <c r="H9" s="37"/>
      <c r="I9" s="37"/>
      <c r="J9" s="91"/>
    </row>
    <row r="10" spans="1:11" ht="14" customHeight="1" x14ac:dyDescent="0.2">
      <c r="B10" s="296" t="s">
        <v>472</v>
      </c>
      <c r="C10" s="288"/>
      <c r="D10" s="288"/>
      <c r="E10" s="288"/>
      <c r="F10" s="288"/>
      <c r="G10" s="288"/>
      <c r="H10" s="288"/>
      <c r="I10" s="288"/>
      <c r="J10" s="297"/>
    </row>
    <row r="11" spans="1:11" ht="14" customHeight="1" x14ac:dyDescent="0.2">
      <c r="B11" s="296"/>
      <c r="C11" s="288"/>
      <c r="D11" s="288"/>
      <c r="E11" s="288"/>
      <c r="F11" s="288"/>
      <c r="G11" s="288"/>
      <c r="H11" s="288"/>
      <c r="I11" s="288"/>
      <c r="J11" s="297"/>
    </row>
    <row r="12" spans="1:11" ht="14" customHeight="1" x14ac:dyDescent="0.2">
      <c r="B12" s="296"/>
      <c r="C12" s="288"/>
      <c r="D12" s="288"/>
      <c r="E12" s="288"/>
      <c r="F12" s="288"/>
      <c r="G12" s="288"/>
      <c r="H12" s="288"/>
      <c r="I12" s="288"/>
      <c r="J12" s="297"/>
    </row>
    <row r="13" spans="1:11" ht="14" customHeight="1" x14ac:dyDescent="0.2">
      <c r="B13" s="296"/>
      <c r="C13" s="288"/>
      <c r="D13" s="288"/>
      <c r="E13" s="288"/>
      <c r="F13" s="288"/>
      <c r="G13" s="288"/>
      <c r="H13" s="288"/>
      <c r="I13" s="288"/>
      <c r="J13" s="297"/>
    </row>
    <row r="14" spans="1:11" ht="14" customHeight="1" x14ac:dyDescent="0.2">
      <c r="B14" s="296"/>
      <c r="C14" s="288"/>
      <c r="D14" s="288"/>
      <c r="E14" s="288"/>
      <c r="F14" s="288"/>
      <c r="G14" s="288"/>
      <c r="H14" s="288"/>
      <c r="I14" s="288"/>
      <c r="J14" s="297"/>
    </row>
    <row r="15" spans="1:11" ht="14" x14ac:dyDescent="0.2">
      <c r="B15" s="296"/>
      <c r="C15" s="288"/>
      <c r="D15" s="288"/>
      <c r="E15" s="288"/>
      <c r="F15" s="288"/>
      <c r="G15" s="288"/>
      <c r="H15" s="288"/>
      <c r="I15" s="288"/>
      <c r="J15" s="297"/>
    </row>
    <row r="16" spans="1:11" ht="11.25" customHeight="1" x14ac:dyDescent="0.2">
      <c r="B16" s="90"/>
      <c r="C16" s="37"/>
      <c r="D16" s="37"/>
      <c r="E16" s="37"/>
      <c r="F16" s="37"/>
      <c r="G16" s="37"/>
      <c r="H16" s="37"/>
      <c r="I16" s="37"/>
      <c r="J16" s="91"/>
    </row>
    <row r="17" spans="1:11" ht="14" x14ac:dyDescent="0.2">
      <c r="B17" s="351" t="s">
        <v>473</v>
      </c>
      <c r="C17" s="283"/>
      <c r="D17" s="283"/>
      <c r="E17" s="283"/>
      <c r="F17" s="283"/>
      <c r="G17" s="283"/>
      <c r="H17" s="283"/>
      <c r="I17" s="283"/>
      <c r="J17" s="284"/>
    </row>
    <row r="18" spans="1:11" ht="40" customHeight="1" x14ac:dyDescent="0.2">
      <c r="B18" s="190" t="s">
        <v>176</v>
      </c>
      <c r="C18" s="403" t="s">
        <v>474</v>
      </c>
      <c r="D18" s="283"/>
      <c r="E18" s="283"/>
      <c r="F18" s="283"/>
      <c r="G18" s="283"/>
      <c r="H18" s="283"/>
      <c r="I18" s="283"/>
      <c r="J18" s="284"/>
    </row>
    <row r="19" spans="1:11" ht="35" customHeight="1" x14ac:dyDescent="0.2">
      <c r="B19" s="190" t="s">
        <v>178</v>
      </c>
      <c r="C19" s="506" t="s">
        <v>475</v>
      </c>
      <c r="D19" s="283"/>
      <c r="E19" s="283"/>
      <c r="F19" s="283"/>
      <c r="G19" s="283"/>
      <c r="H19" s="283"/>
      <c r="I19" s="283"/>
      <c r="J19" s="284"/>
    </row>
    <row r="20" spans="1:11" ht="33" customHeight="1" x14ac:dyDescent="0.2">
      <c r="B20" s="190" t="s">
        <v>180</v>
      </c>
      <c r="C20" s="403" t="s">
        <v>476</v>
      </c>
      <c r="D20" s="283"/>
      <c r="E20" s="283"/>
      <c r="F20" s="283"/>
      <c r="G20" s="283"/>
      <c r="H20" s="283"/>
      <c r="I20" s="283"/>
      <c r="J20" s="284"/>
    </row>
    <row r="21" spans="1:11" ht="40" customHeight="1" x14ac:dyDescent="0.2">
      <c r="B21" s="190" t="s">
        <v>228</v>
      </c>
      <c r="C21" s="403" t="s">
        <v>477</v>
      </c>
      <c r="D21" s="283"/>
      <c r="E21" s="283"/>
      <c r="F21" s="283"/>
      <c r="G21" s="283"/>
      <c r="H21" s="283"/>
      <c r="I21" s="283"/>
      <c r="J21" s="284"/>
    </row>
    <row r="22" spans="1:11" ht="31" customHeight="1" thickBot="1" x14ac:dyDescent="0.25">
      <c r="B22" s="191" t="s">
        <v>326</v>
      </c>
      <c r="C22" s="570" t="s">
        <v>478</v>
      </c>
      <c r="D22" s="340"/>
      <c r="E22" s="340"/>
      <c r="F22" s="340"/>
      <c r="G22" s="340"/>
      <c r="H22" s="340"/>
      <c r="I22" s="340"/>
      <c r="J22" s="341"/>
    </row>
    <row r="23" spans="1:11" ht="33.75" customHeight="1" thickBot="1" x14ac:dyDescent="0.25">
      <c r="D23" s="22"/>
      <c r="F23" s="22"/>
      <c r="G23" s="97"/>
      <c r="H23" s="22"/>
      <c r="I23" s="22"/>
    </row>
    <row r="24" spans="1:11" ht="29.25" customHeight="1" x14ac:dyDescent="0.2">
      <c r="B24" s="300" t="s">
        <v>13</v>
      </c>
      <c r="C24" s="301"/>
      <c r="D24" s="301"/>
      <c r="E24" s="301"/>
      <c r="F24" s="24"/>
      <c r="G24" s="127"/>
      <c r="H24" s="24"/>
      <c r="I24" s="302"/>
      <c r="J24" s="303"/>
    </row>
    <row r="25" spans="1:11" ht="14" customHeight="1" x14ac:dyDescent="0.2">
      <c r="B25" s="296" t="s">
        <v>479</v>
      </c>
      <c r="C25" s="288"/>
      <c r="D25" s="288"/>
      <c r="E25" s="288"/>
      <c r="F25" s="288"/>
      <c r="G25" s="288"/>
      <c r="H25" s="288"/>
      <c r="I25" s="288"/>
      <c r="J25" s="297"/>
    </row>
    <row r="26" spans="1:11" ht="14" x14ac:dyDescent="0.2">
      <c r="B26" s="296"/>
      <c r="C26" s="288"/>
      <c r="D26" s="288"/>
      <c r="E26" s="288"/>
      <c r="F26" s="288"/>
      <c r="G26" s="288"/>
      <c r="H26" s="288"/>
      <c r="I26" s="288"/>
      <c r="J26" s="297"/>
    </row>
    <row r="27" spans="1:11" ht="8.25" customHeight="1" x14ac:dyDescent="0.2">
      <c r="B27" s="93"/>
      <c r="D27" s="22"/>
      <c r="F27" s="22"/>
      <c r="G27" s="97"/>
      <c r="H27" s="22"/>
      <c r="I27" s="22"/>
      <c r="J27" s="94"/>
    </row>
    <row r="28" spans="1:11" ht="16" x14ac:dyDescent="0.2">
      <c r="A28" s="28"/>
      <c r="B28" s="128"/>
      <c r="C28" s="129" t="s">
        <v>17</v>
      </c>
      <c r="D28" s="28"/>
      <c r="E28" s="129"/>
      <c r="F28" s="28"/>
      <c r="G28" s="130" t="s">
        <v>18</v>
      </c>
      <c r="H28" s="28"/>
      <c r="I28" s="129"/>
      <c r="J28" s="131"/>
      <c r="K28" s="28"/>
    </row>
    <row r="29" spans="1:11" ht="117" customHeight="1" x14ac:dyDescent="0.2">
      <c r="B29" s="93"/>
      <c r="C29" s="565" t="s">
        <v>480</v>
      </c>
      <c r="D29" s="566"/>
      <c r="E29" s="567"/>
      <c r="F29" s="12" t="s">
        <v>20</v>
      </c>
      <c r="G29" s="565" t="s">
        <v>481</v>
      </c>
      <c r="H29" s="566"/>
      <c r="I29" s="567"/>
      <c r="J29" s="94"/>
    </row>
    <row r="30" spans="1:11" ht="15.75" customHeight="1" x14ac:dyDescent="0.2">
      <c r="B30" s="93"/>
      <c r="C30" s="37"/>
      <c r="D30" s="12"/>
      <c r="E30" s="97"/>
      <c r="F30" s="22"/>
      <c r="G30" s="97"/>
      <c r="H30" s="22"/>
      <c r="I30" s="97"/>
      <c r="J30" s="94"/>
    </row>
    <row r="31" spans="1:11" ht="14" x14ac:dyDescent="0.2">
      <c r="B31" s="344" t="s">
        <v>482</v>
      </c>
      <c r="C31" s="283"/>
      <c r="D31" s="283"/>
      <c r="E31" s="283"/>
      <c r="F31" s="283"/>
      <c r="G31" s="283"/>
      <c r="H31" s="283"/>
      <c r="I31" s="283"/>
      <c r="J31" s="284"/>
    </row>
    <row r="32" spans="1:11" ht="8.25" customHeight="1" x14ac:dyDescent="0.2">
      <c r="B32" s="93"/>
      <c r="D32" s="22"/>
      <c r="F32" s="22"/>
      <c r="G32" s="97"/>
      <c r="H32" s="22"/>
      <c r="I32" s="22"/>
      <c r="J32" s="94"/>
    </row>
    <row r="33" spans="1:11" ht="17" thickBot="1" x14ac:dyDescent="0.25">
      <c r="A33" s="37"/>
      <c r="B33" s="90"/>
      <c r="C33" s="130" t="s">
        <v>100</v>
      </c>
      <c r="D33" s="37"/>
      <c r="E33" s="130" t="s">
        <v>483</v>
      </c>
      <c r="F33" s="37"/>
      <c r="G33" s="130" t="s">
        <v>102</v>
      </c>
      <c r="H33" s="37"/>
      <c r="I33" s="130" t="s">
        <v>443</v>
      </c>
      <c r="J33" s="91"/>
      <c r="K33" s="37"/>
    </row>
    <row r="34" spans="1:11" ht="57.75" customHeight="1" x14ac:dyDescent="0.2">
      <c r="B34" s="93"/>
      <c r="C34" s="380" t="s">
        <v>484</v>
      </c>
      <c r="D34" s="459" t="s">
        <v>104</v>
      </c>
      <c r="E34" s="460" t="s">
        <v>485</v>
      </c>
      <c r="F34" s="369" t="s">
        <v>106</v>
      </c>
      <c r="G34" s="569"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336" t="s">
        <v>20</v>
      </c>
      <c r="I34" s="310" t="s">
        <v>486</v>
      </c>
      <c r="J34" s="94"/>
    </row>
    <row r="35" spans="1:11" ht="57.75" customHeight="1" x14ac:dyDescent="0.2">
      <c r="B35" s="93"/>
      <c r="C35" s="534"/>
      <c r="D35" s="283"/>
      <c r="E35" s="371"/>
      <c r="F35" s="283"/>
      <c r="G35" s="371"/>
      <c r="H35" s="283"/>
      <c r="I35" s="312"/>
      <c r="J35" s="94"/>
    </row>
    <row r="36" spans="1:11" ht="57.75" customHeight="1" x14ac:dyDescent="0.2">
      <c r="B36" s="93"/>
      <c r="C36" s="534"/>
      <c r="D36" s="283"/>
      <c r="E36" s="371"/>
      <c r="F36" s="283"/>
      <c r="G36" s="371"/>
      <c r="H36" s="283"/>
      <c r="I36" s="312"/>
      <c r="J36" s="94"/>
    </row>
    <row r="37" spans="1:11" ht="57.75" customHeight="1" x14ac:dyDescent="0.2">
      <c r="B37" s="93"/>
      <c r="C37" s="534"/>
      <c r="D37" s="283"/>
      <c r="E37" s="371"/>
      <c r="F37" s="283"/>
      <c r="G37" s="371"/>
      <c r="H37" s="283"/>
      <c r="I37" s="312"/>
      <c r="J37" s="94"/>
    </row>
    <row r="38" spans="1:11" ht="57.75" customHeight="1" thickBot="1" x14ac:dyDescent="0.25">
      <c r="B38" s="93"/>
      <c r="C38" s="535"/>
      <c r="D38" s="283"/>
      <c r="E38" s="372"/>
      <c r="F38" s="283"/>
      <c r="G38" s="372"/>
      <c r="H38" s="283"/>
      <c r="I38" s="313"/>
      <c r="J38" s="94"/>
    </row>
    <row r="39" spans="1:11" ht="15.75" customHeight="1" x14ac:dyDescent="0.2">
      <c r="B39" s="93"/>
      <c r="D39" s="22"/>
      <c r="F39" s="22"/>
      <c r="G39" s="97"/>
      <c r="H39" s="22"/>
      <c r="I39" s="22"/>
      <c r="J39" s="94"/>
    </row>
    <row r="40" spans="1:11" ht="14" x14ac:dyDescent="0.2">
      <c r="B40" s="351" t="s">
        <v>487</v>
      </c>
      <c r="C40" s="283"/>
      <c r="D40" s="283"/>
      <c r="E40" s="283"/>
      <c r="F40" s="283"/>
      <c r="G40" s="283"/>
      <c r="H40" s="283"/>
      <c r="I40" s="283"/>
      <c r="J40" s="284"/>
    </row>
    <row r="41" spans="1:11" ht="11.25" customHeight="1" x14ac:dyDescent="0.2">
      <c r="B41" s="93"/>
      <c r="D41" s="22"/>
      <c r="F41" s="22"/>
      <c r="G41" s="97"/>
      <c r="H41" s="22"/>
      <c r="I41" s="22"/>
      <c r="J41" s="94"/>
    </row>
    <row r="42" spans="1:11" ht="14" customHeight="1" x14ac:dyDescent="0.2">
      <c r="B42" s="543" t="s">
        <v>592</v>
      </c>
      <c r="C42" s="291"/>
      <c r="D42" s="291"/>
      <c r="E42" s="291"/>
      <c r="F42" s="291"/>
      <c r="G42" s="291"/>
      <c r="H42" s="291"/>
      <c r="I42" s="291"/>
      <c r="J42" s="542"/>
    </row>
    <row r="43" spans="1:11" ht="15" customHeight="1" x14ac:dyDescent="0.2">
      <c r="B43" s="543"/>
      <c r="C43" s="291"/>
      <c r="D43" s="291"/>
      <c r="E43" s="291"/>
      <c r="F43" s="291"/>
      <c r="G43" s="291"/>
      <c r="H43" s="291"/>
      <c r="I43" s="291"/>
      <c r="J43" s="542"/>
    </row>
    <row r="44" spans="1:11" ht="15" customHeight="1" x14ac:dyDescent="0.2">
      <c r="B44" s="543"/>
      <c r="C44" s="291"/>
      <c r="D44" s="291"/>
      <c r="E44" s="291"/>
      <c r="F44" s="291"/>
      <c r="G44" s="291"/>
      <c r="H44" s="291"/>
      <c r="I44" s="291"/>
      <c r="J44" s="542"/>
    </row>
    <row r="45" spans="1:11" ht="8.25" customHeight="1" x14ac:dyDescent="0.2">
      <c r="B45" s="93" t="s">
        <v>276</v>
      </c>
      <c r="D45" s="22"/>
      <c r="F45" s="22"/>
      <c r="G45" s="97"/>
      <c r="H45" s="22"/>
      <c r="I45" s="22"/>
      <c r="J45" s="94"/>
    </row>
    <row r="46" spans="1:11" ht="15" x14ac:dyDescent="0.2">
      <c r="A46" s="28"/>
      <c r="B46" s="128"/>
      <c r="C46" s="439" t="s">
        <v>488</v>
      </c>
      <c r="D46" s="283"/>
      <c r="E46" s="283"/>
      <c r="F46" s="28"/>
      <c r="G46" s="439" t="s">
        <v>489</v>
      </c>
      <c r="H46" s="283"/>
      <c r="I46" s="283"/>
      <c r="J46" s="131"/>
      <c r="K46" s="28"/>
    </row>
    <row r="47" spans="1:11" ht="45.75" customHeight="1" x14ac:dyDescent="0.2">
      <c r="B47" s="93"/>
      <c r="C47" s="568" t="s">
        <v>490</v>
      </c>
      <c r="D47" s="537"/>
      <c r="E47" s="501"/>
      <c r="F47" s="336" t="s">
        <v>20</v>
      </c>
      <c r="G47" s="500" t="s">
        <v>491</v>
      </c>
      <c r="H47" s="537"/>
      <c r="I47" s="501"/>
      <c r="J47" s="94"/>
    </row>
    <row r="48" spans="1:11" ht="45.75" customHeight="1" x14ac:dyDescent="0.2">
      <c r="B48" s="93"/>
      <c r="C48" s="502"/>
      <c r="D48" s="283"/>
      <c r="E48" s="503"/>
      <c r="F48" s="283"/>
      <c r="G48" s="502"/>
      <c r="H48" s="283"/>
      <c r="I48" s="503"/>
      <c r="J48" s="94"/>
    </row>
    <row r="49" spans="1:11" ht="45.75" customHeight="1" x14ac:dyDescent="0.2">
      <c r="B49" s="93"/>
      <c r="C49" s="502"/>
      <c r="D49" s="283"/>
      <c r="E49" s="503"/>
      <c r="F49" s="283"/>
      <c r="G49" s="502"/>
      <c r="H49" s="283"/>
      <c r="I49" s="503"/>
      <c r="J49" s="94"/>
    </row>
    <row r="50" spans="1:11" ht="45.75" customHeight="1" x14ac:dyDescent="0.2">
      <c r="B50" s="93"/>
      <c r="C50" s="502"/>
      <c r="D50" s="283"/>
      <c r="E50" s="503"/>
      <c r="F50" s="283"/>
      <c r="G50" s="502"/>
      <c r="H50" s="283"/>
      <c r="I50" s="503"/>
      <c r="J50" s="94"/>
    </row>
    <row r="51" spans="1:11" ht="45.75" customHeight="1" x14ac:dyDescent="0.2">
      <c r="B51" s="93"/>
      <c r="C51" s="504"/>
      <c r="D51" s="538"/>
      <c r="E51" s="505"/>
      <c r="F51" s="283"/>
      <c r="G51" s="504"/>
      <c r="H51" s="538"/>
      <c r="I51" s="505"/>
      <c r="J51" s="94"/>
    </row>
    <row r="52" spans="1:11" ht="15.75" customHeight="1" x14ac:dyDescent="0.2">
      <c r="B52" s="93"/>
      <c r="D52" s="22"/>
      <c r="F52" s="22"/>
      <c r="G52" s="97"/>
      <c r="H52" s="22"/>
      <c r="I52" s="22"/>
      <c r="J52" s="94"/>
    </row>
    <row r="53" spans="1:11" ht="14" customHeight="1" x14ac:dyDescent="0.2">
      <c r="B53" s="296" t="s">
        <v>492</v>
      </c>
      <c r="C53" s="288"/>
      <c r="D53" s="288"/>
      <c r="E53" s="288"/>
      <c r="F53" s="288"/>
      <c r="G53" s="288"/>
      <c r="H53" s="288"/>
      <c r="I53" s="288"/>
      <c r="J53" s="297"/>
    </row>
    <row r="54" spans="1:11" ht="14" x14ac:dyDescent="0.2">
      <c r="B54" s="296"/>
      <c r="C54" s="288"/>
      <c r="D54" s="288"/>
      <c r="E54" s="288"/>
      <c r="F54" s="288"/>
      <c r="G54" s="288"/>
      <c r="H54" s="288"/>
      <c r="I54" s="288"/>
      <c r="J54" s="297"/>
    </row>
    <row r="55" spans="1:11" ht="14" x14ac:dyDescent="0.2">
      <c r="B55" s="296"/>
      <c r="C55" s="288"/>
      <c r="D55" s="288"/>
      <c r="E55" s="288"/>
      <c r="F55" s="288"/>
      <c r="G55" s="288"/>
      <c r="H55" s="288"/>
      <c r="I55" s="288"/>
      <c r="J55" s="297"/>
    </row>
    <row r="56" spans="1:11" ht="14" x14ac:dyDescent="0.2">
      <c r="B56" s="296"/>
      <c r="C56" s="288"/>
      <c r="D56" s="288"/>
      <c r="E56" s="288"/>
      <c r="F56" s="288"/>
      <c r="G56" s="288"/>
      <c r="H56" s="288"/>
      <c r="I56" s="288"/>
      <c r="J56" s="297"/>
    </row>
    <row r="57" spans="1:11" ht="14" x14ac:dyDescent="0.2">
      <c r="B57" s="296"/>
      <c r="C57" s="288"/>
      <c r="D57" s="288"/>
      <c r="E57" s="288"/>
      <c r="F57" s="288"/>
      <c r="G57" s="288"/>
      <c r="H57" s="288"/>
      <c r="I57" s="288"/>
      <c r="J57" s="297"/>
    </row>
    <row r="58" spans="1:11" ht="8.25" customHeight="1" x14ac:dyDescent="0.2">
      <c r="B58" s="93" t="s">
        <v>276</v>
      </c>
      <c r="D58" s="22"/>
      <c r="F58" s="22"/>
      <c r="G58" s="97"/>
      <c r="H58" s="22"/>
      <c r="I58" s="22"/>
      <c r="J58" s="94"/>
    </row>
    <row r="59" spans="1:11" ht="15" x14ac:dyDescent="0.2">
      <c r="A59" s="28"/>
      <c r="B59" s="128"/>
      <c r="D59" s="129"/>
      <c r="E59" s="129" t="s">
        <v>493</v>
      </c>
      <c r="F59" s="28"/>
      <c r="G59" s="517" t="s">
        <v>494</v>
      </c>
      <c r="H59" s="283"/>
      <c r="I59" s="283"/>
      <c r="J59" s="131"/>
      <c r="K59" s="28"/>
    </row>
    <row r="60" spans="1:11" ht="88" customHeight="1" x14ac:dyDescent="0.2">
      <c r="A60" s="28"/>
      <c r="B60" s="128"/>
      <c r="D60" s="112"/>
      <c r="E60" s="562"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336" t="s">
        <v>20</v>
      </c>
      <c r="G60" s="553" t="s">
        <v>594</v>
      </c>
      <c r="H60" s="554"/>
      <c r="I60" s="555"/>
      <c r="J60" s="131"/>
      <c r="K60" s="28"/>
    </row>
    <row r="61" spans="1:11" ht="39.75" customHeight="1" x14ac:dyDescent="0.2">
      <c r="A61" s="28"/>
      <c r="B61" s="128"/>
      <c r="D61" s="192"/>
      <c r="E61" s="563"/>
      <c r="F61" s="283"/>
      <c r="G61" s="556"/>
      <c r="H61" s="557"/>
      <c r="I61" s="558"/>
      <c r="J61" s="131"/>
      <c r="K61" s="28"/>
    </row>
    <row r="62" spans="1:11" ht="39.75" customHeight="1" x14ac:dyDescent="0.2">
      <c r="A62" s="28"/>
      <c r="B62" s="128"/>
      <c r="D62" s="192"/>
      <c r="E62" s="563"/>
      <c r="F62" s="283"/>
      <c r="G62" s="556"/>
      <c r="H62" s="557"/>
      <c r="I62" s="558"/>
      <c r="J62" s="131"/>
      <c r="K62" s="28"/>
    </row>
    <row r="63" spans="1:11" ht="39.75" customHeight="1" x14ac:dyDescent="0.2">
      <c r="A63" s="28"/>
      <c r="B63" s="128"/>
      <c r="D63" s="192"/>
      <c r="E63" s="563"/>
      <c r="F63" s="283"/>
      <c r="G63" s="556"/>
      <c r="H63" s="557"/>
      <c r="I63" s="558"/>
      <c r="J63" s="131"/>
      <c r="K63" s="28"/>
    </row>
    <row r="64" spans="1:11" ht="39.75" customHeight="1" x14ac:dyDescent="0.2">
      <c r="A64" s="28"/>
      <c r="B64" s="128"/>
      <c r="D64" s="192"/>
      <c r="E64" s="563"/>
      <c r="F64" s="283"/>
      <c r="G64" s="556"/>
      <c r="H64" s="557"/>
      <c r="I64" s="558"/>
      <c r="J64" s="131"/>
      <c r="K64" s="28"/>
    </row>
    <row r="65" spans="1:11" ht="39.75" customHeight="1" x14ac:dyDescent="0.2">
      <c r="A65" s="28"/>
      <c r="B65" s="128"/>
      <c r="D65" s="112"/>
      <c r="E65" s="564"/>
      <c r="F65" s="28"/>
      <c r="G65" s="559"/>
      <c r="H65" s="560"/>
      <c r="I65" s="561"/>
      <c r="J65" s="131"/>
      <c r="K65" s="28"/>
    </row>
    <row r="66" spans="1:11" ht="15" x14ac:dyDescent="0.2">
      <c r="A66" s="28"/>
      <c r="B66" s="128"/>
      <c r="C66" s="129"/>
      <c r="D66" s="28"/>
      <c r="E66" s="129"/>
      <c r="F66" s="28"/>
      <c r="G66" s="130"/>
      <c r="H66" s="28"/>
      <c r="I66" s="129"/>
      <c r="J66" s="131"/>
      <c r="K66" s="28"/>
    </row>
    <row r="67" spans="1:11" ht="14" x14ac:dyDescent="0.2">
      <c r="B67" s="351" t="s">
        <v>495</v>
      </c>
      <c r="C67" s="283"/>
      <c r="D67" s="283"/>
      <c r="E67" s="283"/>
      <c r="F67" s="283"/>
      <c r="G67" s="283"/>
      <c r="H67" s="283"/>
      <c r="I67" s="283"/>
      <c r="J67" s="284"/>
    </row>
    <row r="68" spans="1:11" ht="15.75" customHeight="1" thickBot="1" x14ac:dyDescent="0.25">
      <c r="B68" s="103"/>
      <c r="C68" s="40"/>
      <c r="D68" s="40"/>
      <c r="E68" s="40"/>
      <c r="F68" s="40"/>
      <c r="G68" s="40"/>
      <c r="H68" s="85"/>
      <c r="I68" s="85"/>
      <c r="J68" s="188"/>
    </row>
    <row r="69" spans="1:11" ht="33.75" customHeight="1" thickBot="1" x14ac:dyDescent="0.25">
      <c r="H69" s="22"/>
      <c r="I69" s="22"/>
    </row>
    <row r="70" spans="1:11" ht="29.25" customHeight="1" x14ac:dyDescent="0.2">
      <c r="B70" s="300" t="s">
        <v>14</v>
      </c>
      <c r="C70" s="301"/>
      <c r="D70" s="301"/>
      <c r="E70" s="301"/>
      <c r="F70" s="24"/>
      <c r="G70" s="127"/>
      <c r="H70" s="24"/>
      <c r="I70" s="302"/>
      <c r="J70" s="303"/>
    </row>
    <row r="71" spans="1:11" ht="14" x14ac:dyDescent="0.2">
      <c r="B71" s="351" t="s">
        <v>35</v>
      </c>
      <c r="C71" s="283"/>
      <c r="D71" s="283"/>
      <c r="E71" s="283"/>
      <c r="F71" s="283"/>
      <c r="G71" s="283"/>
      <c r="H71" s="283"/>
      <c r="I71" s="283"/>
      <c r="J71" s="284"/>
    </row>
    <row r="72" spans="1:11" ht="8.25" customHeight="1" x14ac:dyDescent="0.2">
      <c r="B72" s="93"/>
      <c r="D72" s="22"/>
      <c r="F72" s="22"/>
      <c r="G72" s="97"/>
      <c r="H72" s="22"/>
      <c r="I72" s="22"/>
      <c r="J72" s="94"/>
    </row>
    <row r="73" spans="1:11" ht="16" x14ac:dyDescent="0.2">
      <c r="A73" s="28"/>
      <c r="B73" s="128"/>
      <c r="D73" s="28"/>
      <c r="E73" s="129" t="s">
        <v>17</v>
      </c>
      <c r="F73" s="28"/>
      <c r="G73" s="130" t="s">
        <v>440</v>
      </c>
      <c r="H73" s="28"/>
      <c r="I73" s="129"/>
      <c r="J73" s="131"/>
      <c r="K73" s="28"/>
    </row>
    <row r="74" spans="1:11" ht="109" customHeight="1" x14ac:dyDescent="0.2">
      <c r="B74" s="93"/>
      <c r="D74" s="112"/>
      <c r="E74" s="229" t="s">
        <v>480</v>
      </c>
      <c r="F74" s="12" t="s">
        <v>20</v>
      </c>
      <c r="G74" s="545" t="s">
        <v>595</v>
      </c>
      <c r="H74" s="546"/>
      <c r="I74" s="547"/>
      <c r="J74" s="94"/>
    </row>
    <row r="75" spans="1:11" ht="8.25" customHeight="1" x14ac:dyDescent="0.2">
      <c r="B75" s="93"/>
      <c r="D75" s="22"/>
      <c r="F75" s="22"/>
      <c r="G75" s="97"/>
      <c r="H75" s="22"/>
      <c r="I75" s="22"/>
      <c r="J75" s="94"/>
    </row>
    <row r="76" spans="1:11" ht="17" thickBot="1" x14ac:dyDescent="0.25">
      <c r="A76" s="37"/>
      <c r="B76" s="90"/>
      <c r="C76" s="130" t="s">
        <v>100</v>
      </c>
      <c r="D76" s="37"/>
      <c r="E76" s="130" t="s">
        <v>483</v>
      </c>
      <c r="F76" s="37"/>
      <c r="G76" s="130" t="s">
        <v>102</v>
      </c>
      <c r="H76" s="37"/>
      <c r="I76" s="130" t="s">
        <v>443</v>
      </c>
      <c r="J76" s="91"/>
      <c r="K76" s="37"/>
    </row>
    <row r="77" spans="1:11" ht="57.75" customHeight="1" x14ac:dyDescent="0.2">
      <c r="B77" s="93"/>
      <c r="C77" s="366" t="s">
        <v>484</v>
      </c>
      <c r="D77" s="459" t="s">
        <v>104</v>
      </c>
      <c r="E77" s="548" t="s">
        <v>485</v>
      </c>
      <c r="F77" s="369" t="s">
        <v>106</v>
      </c>
      <c r="G77" s="551"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336" t="s">
        <v>20</v>
      </c>
      <c r="I77" s="552" t="s">
        <v>596</v>
      </c>
      <c r="J77" s="94"/>
    </row>
    <row r="78" spans="1:11" ht="57.75" customHeight="1" x14ac:dyDescent="0.2">
      <c r="B78" s="93"/>
      <c r="C78" s="367"/>
      <c r="D78" s="283"/>
      <c r="E78" s="549"/>
      <c r="F78" s="283"/>
      <c r="G78" s="523"/>
      <c r="H78" s="283"/>
      <c r="I78" s="374"/>
      <c r="J78" s="94"/>
    </row>
    <row r="79" spans="1:11" ht="57.75" customHeight="1" x14ac:dyDescent="0.2">
      <c r="B79" s="93"/>
      <c r="C79" s="367"/>
      <c r="D79" s="283"/>
      <c r="E79" s="549"/>
      <c r="F79" s="283"/>
      <c r="G79" s="523"/>
      <c r="H79" s="283"/>
      <c r="I79" s="374"/>
      <c r="J79" s="94"/>
    </row>
    <row r="80" spans="1:11" ht="57.75" customHeight="1" x14ac:dyDescent="0.2">
      <c r="B80" s="93"/>
      <c r="C80" s="367"/>
      <c r="D80" s="283"/>
      <c r="E80" s="549"/>
      <c r="F80" s="283"/>
      <c r="G80" s="523"/>
      <c r="H80" s="283"/>
      <c r="I80" s="374"/>
      <c r="J80" s="94"/>
    </row>
    <row r="81" spans="2:10" ht="57.75" customHeight="1" thickBot="1" x14ac:dyDescent="0.25">
      <c r="B81" s="93"/>
      <c r="C81" s="368"/>
      <c r="D81" s="283"/>
      <c r="E81" s="550"/>
      <c r="F81" s="283"/>
      <c r="G81" s="509"/>
      <c r="H81" s="283"/>
      <c r="I81" s="335"/>
      <c r="J81" s="94"/>
    </row>
    <row r="82" spans="2:10" ht="8.25" customHeight="1" x14ac:dyDescent="0.2">
      <c r="B82" s="93"/>
      <c r="D82" s="22"/>
      <c r="F82" s="22"/>
      <c r="G82" s="97"/>
      <c r="H82" s="22"/>
      <c r="I82" s="22"/>
      <c r="J82" s="94"/>
    </row>
    <row r="83" spans="2:10" ht="15.75" customHeight="1" thickBot="1" x14ac:dyDescent="0.25">
      <c r="B83" s="103"/>
      <c r="C83" s="133"/>
      <c r="D83" s="39"/>
      <c r="E83" s="118"/>
      <c r="F83" s="40"/>
      <c r="G83" s="118"/>
      <c r="H83" s="40"/>
      <c r="I83" s="118"/>
      <c r="J83" s="104"/>
    </row>
    <row r="84" spans="2:10" ht="14" x14ac:dyDescent="0.2">
      <c r="D84" s="22"/>
      <c r="F84" s="22"/>
      <c r="G84" s="97"/>
      <c r="H84" s="22"/>
      <c r="I84" s="22"/>
    </row>
    <row r="85" spans="2:10" ht="16" x14ac:dyDescent="0.2">
      <c r="B85" s="281" t="s">
        <v>496</v>
      </c>
      <c r="C85" s="281"/>
      <c r="D85" s="281"/>
      <c r="E85" s="281"/>
      <c r="G85" s="97"/>
      <c r="H85" s="22"/>
      <c r="I85" s="299" t="s">
        <v>497</v>
      </c>
      <c r="J85" s="281"/>
    </row>
    <row r="86" spans="2:10" ht="14" x14ac:dyDescent="0.2">
      <c r="G86" s="97"/>
      <c r="H86" s="22"/>
      <c r="I86" s="22"/>
    </row>
    <row r="87" spans="2:10" ht="16" x14ac:dyDescent="0.2">
      <c r="B87" s="280" t="s">
        <v>37</v>
      </c>
      <c r="C87" s="281"/>
      <c r="D87" s="281"/>
      <c r="E87" s="281"/>
      <c r="F87" s="281"/>
      <c r="G87" s="281"/>
      <c r="H87" s="281"/>
      <c r="I87" s="281"/>
      <c r="J87" s="281"/>
    </row>
    <row r="88" spans="2:10" ht="14" x14ac:dyDescent="0.2">
      <c r="D88" s="22"/>
      <c r="F88" s="22"/>
      <c r="G88" s="97"/>
      <c r="H88" s="22"/>
      <c r="I88" s="22"/>
    </row>
    <row r="89" spans="2:10" ht="14" x14ac:dyDescent="0.2">
      <c r="D89" s="22"/>
      <c r="F89" s="22"/>
      <c r="G89" s="97"/>
      <c r="H89" s="22"/>
      <c r="I89" s="22"/>
    </row>
    <row r="90" spans="2:10" ht="14" x14ac:dyDescent="0.2">
      <c r="D90" s="22"/>
      <c r="F90" s="22"/>
      <c r="G90" s="97"/>
      <c r="H90" s="22"/>
      <c r="I90" s="22"/>
    </row>
    <row r="91" spans="2:10" ht="14" x14ac:dyDescent="0.2">
      <c r="D91" s="22"/>
      <c r="F91" s="22"/>
      <c r="G91" s="97"/>
      <c r="H91" s="22"/>
      <c r="I91" s="22"/>
    </row>
  </sheetData>
  <sheetProtection algorithmName="SHA-512" hashValue="4bjuoFXB5hpi360OzSRhgKzIG2pv5eoXuQXq7dHegkE6sOzyvy7t3bCsfY+4m2XuANF+yVuvmOQMy9W1KxZoag==" saltValue="DRYd5J3qlEDVd+QofMkV+Q==" spinCount="100000" sheet="1" objects="1" scenarios="1"/>
  <mergeCells count="51">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53:J57"/>
    <mergeCell ref="G59:I59"/>
    <mergeCell ref="F60:F64"/>
    <mergeCell ref="G60:I65"/>
    <mergeCell ref="E60:E65"/>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5" style="89" customWidth="1"/>
    <col min="4" max="4" width="4" style="89" customWidth="1"/>
    <col min="5" max="5" width="55.6640625" style="89" customWidth="1"/>
    <col min="6" max="6" width="3" style="89" customWidth="1"/>
    <col min="7" max="7" width="5.5" style="89" customWidth="1"/>
    <col min="8" max="16384" width="12.6640625" style="89"/>
  </cols>
  <sheetData>
    <row r="1" spans="1:7" ht="40" customHeight="1" x14ac:dyDescent="0.2">
      <c r="A1" s="88"/>
      <c r="B1" s="352" t="s">
        <v>498</v>
      </c>
      <c r="C1" s="283"/>
      <c r="D1" s="283"/>
      <c r="E1" s="283"/>
      <c r="F1" s="22"/>
      <c r="G1" s="22"/>
    </row>
    <row r="2" spans="1:7" ht="21.75" customHeight="1" thickBot="1" x14ac:dyDescent="0.25"/>
    <row r="3" spans="1:7" ht="29.25" customHeight="1" x14ac:dyDescent="0.2">
      <c r="A3" s="22"/>
      <c r="B3" s="314" t="s">
        <v>499</v>
      </c>
      <c r="C3" s="315"/>
      <c r="D3" s="315"/>
      <c r="E3" s="316"/>
      <c r="F3" s="317"/>
      <c r="G3" s="22"/>
    </row>
    <row r="4" spans="1:7" ht="107" customHeight="1" thickBot="1" x14ac:dyDescent="0.25">
      <c r="B4" s="571" t="s">
        <v>631</v>
      </c>
      <c r="C4" s="572"/>
      <c r="D4" s="572"/>
      <c r="E4" s="572"/>
      <c r="F4" s="573"/>
    </row>
    <row r="6" spans="1:7" ht="16" x14ac:dyDescent="0.2">
      <c r="B6" s="281" t="s">
        <v>597</v>
      </c>
      <c r="C6" s="281"/>
      <c r="D6" s="281"/>
      <c r="E6" s="574"/>
      <c r="F6" s="283"/>
    </row>
    <row r="7" spans="1:7" ht="8.25" customHeight="1" x14ac:dyDescent="0.2"/>
    <row r="8" spans="1:7" ht="16" x14ac:dyDescent="0.2">
      <c r="B8" s="280" t="s">
        <v>37</v>
      </c>
      <c r="C8" s="281"/>
      <c r="D8" s="281"/>
      <c r="E8" s="281"/>
      <c r="F8" s="281"/>
    </row>
  </sheetData>
  <sheetProtection algorithmName="SHA-512" hashValue="+iaaq/ihzKmyk+W4wwpndhUE8LSdcgiEWn7/ajmnfwS/vU72ab58RQIn1zwENt8sji5AeZbEW0LElIzabQVbRg==" saltValue="x0RnX59YPltIuqpJ9sOF3g==" spinCount="100000" sheet="1" objects="1" scenarios="1"/>
  <mergeCells count="7">
    <mergeCell ref="B8:F8"/>
    <mergeCell ref="B1:E1"/>
    <mergeCell ref="B3:D3"/>
    <mergeCell ref="E3:F3"/>
    <mergeCell ref="B4:F4"/>
    <mergeCell ref="B6:D6"/>
    <mergeCell ref="E6:F6"/>
  </mergeCells>
  <hyperlinks>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9 - Congratulations &amp; Next Step</vt:lpstr>
      <vt:lpstr>Appendix - Chaining Prompts</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2023-10-05T12:47:43Z</dcterms:modified>
</cp:coreProperties>
</file>